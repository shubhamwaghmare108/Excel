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Taywade College\"/>
    </mc:Choice>
  </mc:AlternateContent>
  <xr:revisionPtr revIDLastSave="0" documentId="13_ncr:1_{04495EC2-AEAA-48FD-8ABD-3884B452E8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act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J18" i="1"/>
  <c r="F18" i="1"/>
  <c r="D18" i="1"/>
  <c r="I6" i="1"/>
  <c r="J9" i="1"/>
  <c r="I9" i="1"/>
  <c r="J6" i="1"/>
  <c r="I2" i="1"/>
  <c r="K2" i="1" s="1"/>
  <c r="J17" i="1"/>
  <c r="I17" i="1"/>
  <c r="H17" i="1"/>
  <c r="G17" i="1"/>
  <c r="F17" i="1"/>
  <c r="E17" i="1"/>
  <c r="D17" i="1"/>
  <c r="C17" i="1"/>
  <c r="G3" i="1"/>
  <c r="G4" i="1"/>
  <c r="G5" i="1"/>
  <c r="G6" i="1"/>
  <c r="G7" i="1"/>
  <c r="G8" i="1"/>
  <c r="G9" i="1"/>
  <c r="G10" i="1"/>
  <c r="G11" i="1"/>
  <c r="G12" i="1"/>
  <c r="G13" i="1"/>
  <c r="G2" i="1"/>
  <c r="F3" i="1"/>
  <c r="F4" i="1"/>
  <c r="F5" i="1"/>
  <c r="F6" i="1"/>
  <c r="F7" i="1"/>
  <c r="F8" i="1"/>
  <c r="F9" i="1"/>
  <c r="F10" i="1"/>
  <c r="F11" i="1"/>
  <c r="F12" i="1"/>
  <c r="F13" i="1"/>
  <c r="F2" i="1"/>
  <c r="E3" i="1"/>
  <c r="E4" i="1"/>
  <c r="E5" i="1"/>
  <c r="E7" i="1"/>
  <c r="E8" i="1"/>
  <c r="E9" i="1"/>
  <c r="E10" i="1"/>
  <c r="E11" i="1"/>
  <c r="E12" i="1"/>
  <c r="E2" i="1"/>
  <c r="D3" i="1"/>
  <c r="D4" i="1"/>
  <c r="D5" i="1"/>
  <c r="D6" i="1"/>
  <c r="D7" i="1"/>
  <c r="D8" i="1"/>
  <c r="D9" i="1"/>
  <c r="D10" i="1"/>
  <c r="D11" i="1"/>
  <c r="D12" i="1"/>
  <c r="D13" i="1"/>
  <c r="D2" i="1"/>
  <c r="C3" i="1"/>
  <c r="C4" i="1"/>
  <c r="C5" i="1"/>
  <c r="C6" i="1"/>
  <c r="C7" i="1"/>
  <c r="C8" i="1"/>
  <c r="C9" i="1"/>
  <c r="C10" i="1"/>
  <c r="C11" i="1"/>
  <c r="C12" i="1"/>
  <c r="C13" i="1"/>
  <c r="C2" i="1"/>
  <c r="B3" i="1"/>
  <c r="B4" i="1"/>
  <c r="B5" i="1"/>
  <c r="B6" i="1"/>
  <c r="E6" i="1" s="1"/>
  <c r="B7" i="1"/>
  <c r="B8" i="1"/>
  <c r="B9" i="1"/>
  <c r="B10" i="1"/>
  <c r="B11" i="1"/>
  <c r="B12" i="1"/>
  <c r="B13" i="1"/>
  <c r="E13" i="1" s="1"/>
  <c r="B2" i="1"/>
  <c r="L2" i="1" l="1"/>
  <c r="J2" i="1"/>
  <c r="M2" i="1" l="1"/>
</calcChain>
</file>

<file path=xl/sharedStrings.xml><?xml version="1.0" encoding="utf-8"?>
<sst xmlns="http://schemas.openxmlformats.org/spreadsheetml/2006/main" count="26" uniqueCount="25">
  <si>
    <t>Date</t>
  </si>
  <si>
    <t>Year</t>
  </si>
  <si>
    <t>Month</t>
  </si>
  <si>
    <t>Day</t>
  </si>
  <si>
    <t>Sample Date</t>
  </si>
  <si>
    <t>WeekNum</t>
  </si>
  <si>
    <t>Weekday</t>
  </si>
  <si>
    <t>Days</t>
  </si>
  <si>
    <t>Start</t>
  </si>
  <si>
    <t>End</t>
  </si>
  <si>
    <t>Edate</t>
  </si>
  <si>
    <t>Workday</t>
  </si>
  <si>
    <t>EOMonth</t>
  </si>
  <si>
    <t>Networkdays</t>
  </si>
  <si>
    <t>Today</t>
  </si>
  <si>
    <t>Now</t>
  </si>
  <si>
    <t>Datediff</t>
  </si>
  <si>
    <t>Hour</t>
  </si>
  <si>
    <t>Minute</t>
  </si>
  <si>
    <t>Second</t>
  </si>
  <si>
    <t>Time</t>
  </si>
  <si>
    <t>Row</t>
  </si>
  <si>
    <t>Rows</t>
  </si>
  <si>
    <t>Columns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</si>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</sst>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22" fontId="0" fillId="0" borderId="1" xfId="0" applyNumberFormat="1" applyBorder="1"/>
    <xf numFmtId="0" fontId="0" fillId="0" borderId="1" xfId="0" applyFill="1" applyBorder="1"/>
    <xf numFmtId="0" fontId="0" fillId="2" borderId="1" xfId="0" applyFill="1" applyBorder="1"/>
    <xf numFmtId="14" fontId="0" fillId="2" borderId="1" xfId="0" applyNumberFormat="1" applyFill="1" applyBorder="1"/>
    <xf numFmtId="22" fontId="0" fillId="2" borderId="1" xfId="0" applyNumberFormat="1" applyFill="1" applyBorder="1"/>
    <xf numFmtId="0" fontId="0" fillId="2" borderId="1" xfId="0" applyNumberFormat="1" applyFill="1" applyBorder="1"/>
    <xf numFmtId="18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topLeftCell="A14" zoomScale="285" zoomScaleNormal="285" workbookViewId="0">
      <selection activeCell="G18" sqref="G18"/>
    </sheetView>
  </sheetViews>
  <sheetFormatPr defaultRowHeight="14.4" x14ac:dyDescent="0.3"/>
  <cols>
    <col min="1" max="1" width="11.21875" style="1" bestFit="1" customWidth="1"/>
    <col min="2" max="2" width="10.5546875" bestFit="1" customWidth="1"/>
    <col min="4" max="6" width="10.5546875" bestFit="1" customWidth="1"/>
    <col min="7" max="7" width="15.77734375" bestFit="1" customWidth="1"/>
    <col min="8" max="8" width="9.5546875" bestFit="1" customWidth="1"/>
    <col min="9" max="9" width="14.6640625" bestFit="1" customWidth="1"/>
    <col min="10" max="10" width="11.33203125" bestFit="1" customWidth="1"/>
  </cols>
  <sheetData>
    <row r="1" spans="1:13" x14ac:dyDescent="0.3">
      <c r="A1" s="2" t="s">
        <v>4</v>
      </c>
      <c r="B1" s="3" t="s">
        <v>1</v>
      </c>
      <c r="C1" s="3" t="s">
        <v>2</v>
      </c>
      <c r="D1" s="3" t="s">
        <v>3</v>
      </c>
      <c r="E1" s="3" t="s">
        <v>0</v>
      </c>
      <c r="F1" s="3" t="s">
        <v>5</v>
      </c>
      <c r="G1" s="3" t="s">
        <v>6</v>
      </c>
      <c r="I1" s="6" t="s">
        <v>15</v>
      </c>
      <c r="J1" s="6" t="s">
        <v>17</v>
      </c>
      <c r="K1" s="6" t="s">
        <v>18</v>
      </c>
      <c r="L1" s="6" t="s">
        <v>19</v>
      </c>
      <c r="M1" s="6" t="s">
        <v>20</v>
      </c>
    </row>
    <row r="2" spans="1:13" x14ac:dyDescent="0.3">
      <c r="A2" s="7">
        <v>45061</v>
      </c>
      <c r="B2" s="6">
        <f>YEAR(A2)</f>
        <v>2023</v>
      </c>
      <c r="C2" s="6">
        <f>MONTH(A2)</f>
        <v>5</v>
      </c>
      <c r="D2" s="6">
        <f>DAY(A2)</f>
        <v>15</v>
      </c>
      <c r="E2" s="7">
        <f>DATE(B2,C2,D2)</f>
        <v>45061</v>
      </c>
      <c r="F2" s="6">
        <f>WEEKNUM(A2,2)</f>
        <v>21</v>
      </c>
      <c r="G2" s="6">
        <f>WEEKDAY(A2,2)</f>
        <v>1</v>
      </c>
      <c r="I2" s="8">
        <f ca="1">NOW()</f>
        <v>45681.518435300924</v>
      </c>
      <c r="J2" s="9">
        <f ca="1">HOUR(I2)</f>
        <v>12</v>
      </c>
      <c r="K2" s="6">
        <f ca="1">MINUTE(I2)</f>
        <v>26</v>
      </c>
      <c r="L2" s="6">
        <f ca="1">SECOND(I2)</f>
        <v>33</v>
      </c>
      <c r="M2" s="10">
        <f ca="1">TIME(J2,K2,L2)</f>
        <v>0.5184375</v>
      </c>
    </row>
    <row r="3" spans="1:13" x14ac:dyDescent="0.3">
      <c r="A3" s="2">
        <v>44941</v>
      </c>
      <c r="B3" s="3">
        <f t="shared" ref="B3:B13" si="0">YEAR(A3)</f>
        <v>2023</v>
      </c>
      <c r="C3" s="3">
        <f t="shared" ref="C3:C13" si="1">MONTH(A3)</f>
        <v>1</v>
      </c>
      <c r="D3" s="3">
        <f t="shared" ref="D3:D13" si="2">DAY(A3)</f>
        <v>15</v>
      </c>
      <c r="E3" s="2">
        <f t="shared" ref="E3:E13" si="3">DATE(B3,C3,D3)</f>
        <v>44941</v>
      </c>
      <c r="F3" s="3">
        <f t="shared" ref="F3:F13" si="4">WEEKNUM(A3,2)</f>
        <v>3</v>
      </c>
      <c r="G3" s="3">
        <f t="shared" ref="G3:G13" si="5">WEEKDAY(A3,2)</f>
        <v>7</v>
      </c>
    </row>
    <row r="4" spans="1:13" x14ac:dyDescent="0.3">
      <c r="A4" s="2">
        <v>45061</v>
      </c>
      <c r="B4" s="3">
        <f t="shared" si="0"/>
        <v>2023</v>
      </c>
      <c r="C4" s="3">
        <f t="shared" si="1"/>
        <v>5</v>
      </c>
      <c r="D4" s="3">
        <f t="shared" si="2"/>
        <v>15</v>
      </c>
      <c r="E4" s="2">
        <f t="shared" si="3"/>
        <v>45061</v>
      </c>
      <c r="F4" s="3">
        <f t="shared" si="4"/>
        <v>21</v>
      </c>
      <c r="G4" s="3">
        <f t="shared" si="5"/>
        <v>1</v>
      </c>
    </row>
    <row r="5" spans="1:13" x14ac:dyDescent="0.3">
      <c r="A5" s="2">
        <v>45153</v>
      </c>
      <c r="B5" s="3">
        <f t="shared" si="0"/>
        <v>2023</v>
      </c>
      <c r="C5" s="3">
        <f t="shared" si="1"/>
        <v>8</v>
      </c>
      <c r="D5" s="3">
        <f t="shared" si="2"/>
        <v>15</v>
      </c>
      <c r="E5" s="2">
        <f t="shared" si="3"/>
        <v>45153</v>
      </c>
      <c r="F5" s="3">
        <f t="shared" si="4"/>
        <v>34</v>
      </c>
      <c r="G5" s="3">
        <f t="shared" si="5"/>
        <v>2</v>
      </c>
      <c r="I5" s="6" t="s">
        <v>22</v>
      </c>
      <c r="J5" s="6" t="s">
        <v>23</v>
      </c>
    </row>
    <row r="6" spans="1:13" x14ac:dyDescent="0.3">
      <c r="A6" s="2">
        <v>44972</v>
      </c>
      <c r="B6" s="3">
        <f t="shared" si="0"/>
        <v>2023</v>
      </c>
      <c r="C6" s="3">
        <f t="shared" si="1"/>
        <v>2</v>
      </c>
      <c r="D6" s="3">
        <f t="shared" si="2"/>
        <v>15</v>
      </c>
      <c r="E6" s="2">
        <f t="shared" si="3"/>
        <v>44972</v>
      </c>
      <c r="F6" s="3">
        <f t="shared" si="4"/>
        <v>8</v>
      </c>
      <c r="G6" s="3">
        <f t="shared" si="5"/>
        <v>3</v>
      </c>
      <c r="I6" s="6">
        <f>ROWS(A2:A13)</f>
        <v>12</v>
      </c>
      <c r="J6" s="6">
        <f>COLUMNS(A2:G2)</f>
        <v>7</v>
      </c>
    </row>
    <row r="7" spans="1:13" x14ac:dyDescent="0.3">
      <c r="A7" s="2">
        <v>45409</v>
      </c>
      <c r="B7" s="3">
        <f t="shared" si="0"/>
        <v>2024</v>
      </c>
      <c r="C7" s="3">
        <f t="shared" si="1"/>
        <v>4</v>
      </c>
      <c r="D7" s="3">
        <f t="shared" si="2"/>
        <v>27</v>
      </c>
      <c r="E7" s="2">
        <f t="shared" si="3"/>
        <v>45409</v>
      </c>
      <c r="F7" s="3">
        <f t="shared" si="4"/>
        <v>17</v>
      </c>
      <c r="G7" s="6">
        <f t="shared" si="5"/>
        <v>6</v>
      </c>
    </row>
    <row r="8" spans="1:13" x14ac:dyDescent="0.3">
      <c r="A8" s="7">
        <v>45409</v>
      </c>
      <c r="B8" s="3">
        <f t="shared" si="0"/>
        <v>2024</v>
      </c>
      <c r="C8" s="3">
        <f t="shared" si="1"/>
        <v>4</v>
      </c>
      <c r="D8" s="3">
        <f t="shared" si="2"/>
        <v>27</v>
      </c>
      <c r="E8" s="2">
        <f t="shared" si="3"/>
        <v>45409</v>
      </c>
      <c r="F8" s="3">
        <f t="shared" si="4"/>
        <v>17</v>
      </c>
      <c r="G8" s="3">
        <f t="shared" si="5"/>
        <v>6</v>
      </c>
      <c r="I8" s="6" t="s">
        <v>21</v>
      </c>
      <c r="J8" s="6" t="s">
        <v>24</v>
      </c>
    </row>
    <row r="9" spans="1:13" x14ac:dyDescent="0.3">
      <c r="A9" s="2">
        <v>45467</v>
      </c>
      <c r="B9" s="3">
        <f t="shared" si="0"/>
        <v>2024</v>
      </c>
      <c r="C9" s="6">
        <f t="shared" si="1"/>
        <v>6</v>
      </c>
      <c r="D9" s="3">
        <f t="shared" si="2"/>
        <v>24</v>
      </c>
      <c r="E9" s="2">
        <f t="shared" si="3"/>
        <v>45467</v>
      </c>
      <c r="F9" s="3">
        <f t="shared" si="4"/>
        <v>26</v>
      </c>
      <c r="G9" s="3">
        <f t="shared" si="5"/>
        <v>1</v>
      </c>
      <c r="I9" s="6">
        <f>ROW(C9)</f>
        <v>9</v>
      </c>
      <c r="J9" s="6">
        <f>COLUMN(G7)</f>
        <v>7</v>
      </c>
    </row>
    <row r="10" spans="1:13" x14ac:dyDescent="0.3">
      <c r="A10" s="2">
        <v>45061</v>
      </c>
      <c r="B10" s="3">
        <f t="shared" si="0"/>
        <v>2023</v>
      </c>
      <c r="C10" s="3">
        <f t="shared" si="1"/>
        <v>5</v>
      </c>
      <c r="D10" s="3">
        <f t="shared" si="2"/>
        <v>15</v>
      </c>
      <c r="E10" s="2">
        <f t="shared" si="3"/>
        <v>45061</v>
      </c>
      <c r="F10" s="3">
        <f t="shared" si="4"/>
        <v>21</v>
      </c>
      <c r="G10" s="3">
        <f t="shared" si="5"/>
        <v>1</v>
      </c>
    </row>
    <row r="11" spans="1:13" x14ac:dyDescent="0.3">
      <c r="A11" s="2">
        <v>45061</v>
      </c>
      <c r="B11" s="3">
        <f t="shared" si="0"/>
        <v>2023</v>
      </c>
      <c r="C11" s="3">
        <f t="shared" si="1"/>
        <v>5</v>
      </c>
      <c r="D11" s="3">
        <f t="shared" si="2"/>
        <v>15</v>
      </c>
      <c r="E11" s="2">
        <f t="shared" si="3"/>
        <v>45061</v>
      </c>
      <c r="F11" s="3">
        <f t="shared" si="4"/>
        <v>21</v>
      </c>
      <c r="G11" s="3">
        <f t="shared" si="5"/>
        <v>1</v>
      </c>
    </row>
    <row r="12" spans="1:13" x14ac:dyDescent="0.3">
      <c r="A12" s="2">
        <v>45061</v>
      </c>
      <c r="B12" s="3">
        <f t="shared" si="0"/>
        <v>2023</v>
      </c>
      <c r="C12" s="3">
        <f t="shared" si="1"/>
        <v>5</v>
      </c>
      <c r="D12" s="3">
        <f t="shared" si="2"/>
        <v>15</v>
      </c>
      <c r="E12" s="2">
        <f t="shared" si="3"/>
        <v>45061</v>
      </c>
      <c r="F12" s="3">
        <f t="shared" si="4"/>
        <v>21</v>
      </c>
      <c r="G12" s="3">
        <f t="shared" si="5"/>
        <v>1</v>
      </c>
    </row>
    <row r="13" spans="1:13" x14ac:dyDescent="0.3">
      <c r="A13" s="2">
        <v>45275</v>
      </c>
      <c r="B13" s="3">
        <f t="shared" si="0"/>
        <v>2023</v>
      </c>
      <c r="C13" s="3">
        <f t="shared" si="1"/>
        <v>12</v>
      </c>
      <c r="D13" s="3">
        <f t="shared" si="2"/>
        <v>15</v>
      </c>
      <c r="E13" s="2">
        <f t="shared" si="3"/>
        <v>45275</v>
      </c>
      <c r="F13" s="3">
        <f t="shared" si="4"/>
        <v>51</v>
      </c>
      <c r="G13" s="3">
        <f t="shared" si="5"/>
        <v>5</v>
      </c>
    </row>
    <row r="16" spans="1:13" x14ac:dyDescent="0.3">
      <c r="A16" s="2" t="s">
        <v>8</v>
      </c>
      <c r="B16" s="3" t="s">
        <v>9</v>
      </c>
      <c r="C16" s="3" t="s">
        <v>7</v>
      </c>
      <c r="D16" s="3" t="s">
        <v>10</v>
      </c>
      <c r="E16" s="3" t="s">
        <v>11</v>
      </c>
      <c r="F16" s="3" t="s">
        <v>12</v>
      </c>
      <c r="G16" s="3" t="s">
        <v>13</v>
      </c>
      <c r="H16" s="3" t="s">
        <v>14</v>
      </c>
      <c r="I16" s="3" t="s">
        <v>15</v>
      </c>
      <c r="J16" s="5" t="s">
        <v>16</v>
      </c>
    </row>
    <row r="17" spans="1:10" x14ac:dyDescent="0.3">
      <c r="A17" s="2">
        <v>45153</v>
      </c>
      <c r="B17" s="2">
        <v>45653</v>
      </c>
      <c r="C17" s="6">
        <f>_xlfn.DAYS(B17,A17)</f>
        <v>500</v>
      </c>
      <c r="D17" s="7">
        <f>EDATE(B17,3)</f>
        <v>45743</v>
      </c>
      <c r="E17" s="2">
        <f>WORKDAY(B17,10,2)</f>
        <v>45667</v>
      </c>
      <c r="F17" s="7">
        <f>EOMONTH(B17,5)</f>
        <v>45808</v>
      </c>
      <c r="G17" s="3">
        <f>NETWORKDAYS.INTL(A17,B17,1)</f>
        <v>359</v>
      </c>
      <c r="H17" s="2">
        <f ca="1">TODAY()</f>
        <v>45681</v>
      </c>
      <c r="I17" s="4">
        <f ca="1">NOW()</f>
        <v>45681.518435300924</v>
      </c>
      <c r="J17" s="3">
        <f>DATEDIF(A17,B17,"M")</f>
        <v>16</v>
      </c>
    </row>
    <row r="18" spans="1:10" x14ac:dyDescent="0.3">
      <c r="D18" s="1">
        <f>EDATE(A17,2)</f>
        <v>45214</v>
      </c>
      <c r="F18" s="1">
        <f>EOMONTH(A17,2)</f>
        <v>45230</v>
      </c>
      <c r="G18">
        <f>NETWORKDAYS.INTL(A17,B17,1,10)</f>
        <v>359</v>
      </c>
      <c r="J18">
        <f>DATEDIF(A17,B17,"Y")</f>
        <v>1</v>
      </c>
    </row>
    <row r="19" spans="1:10" x14ac:dyDescent="0.3">
      <c r="H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 waghmare</cp:lastModifiedBy>
  <dcterms:created xsi:type="dcterms:W3CDTF">2015-06-05T18:17:20Z</dcterms:created>
  <dcterms:modified xsi:type="dcterms:W3CDTF">2025-01-24T06:57:49Z</dcterms:modified>
</cp:coreProperties>
</file>