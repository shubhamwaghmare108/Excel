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aywade College\Excel\"/>
    </mc:Choice>
  </mc:AlternateContent>
  <xr:revisionPtr revIDLastSave="0" documentId="13_ncr:1_{4983C22B-A7BC-4729-8F92-58A9D3E8C61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Text_Manipulation" sheetId="1" r:id="rId1"/>
    <sheet name="Pract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4" i="2" l="1"/>
  <c r="H23" i="2"/>
  <c r="F23" i="2"/>
  <c r="K17" i="2"/>
  <c r="K18" i="2"/>
  <c r="K19" i="2"/>
  <c r="K16" i="2"/>
  <c r="J17" i="2"/>
  <c r="J18" i="2"/>
  <c r="J19" i="2"/>
  <c r="I17" i="2"/>
  <c r="I18" i="2"/>
  <c r="I19" i="2"/>
  <c r="I16" i="2"/>
  <c r="J16" i="2"/>
  <c r="J13" i="2"/>
  <c r="J14" i="2"/>
  <c r="I13" i="2"/>
  <c r="I14" i="2"/>
  <c r="J12" i="2"/>
  <c r="I12" i="2"/>
  <c r="F15" i="2"/>
  <c r="F8" i="2"/>
  <c r="H5" i="2" a="1"/>
  <c r="H5" i="2" s="1"/>
  <c r="H4" i="2"/>
  <c r="G4" i="2"/>
  <c r="J39" i="2" a="1"/>
  <c r="J39" i="2" s="1"/>
  <c r="F30" i="2" a="1"/>
  <c r="F30" i="2" s="1"/>
  <c r="H30" i="2" a="1"/>
  <c r="H30" i="2" s="1"/>
  <c r="I22" i="2"/>
  <c r="H22" i="2"/>
  <c r="F5" i="2" a="1"/>
  <c r="F5" i="2" s="1"/>
  <c r="F19" i="2"/>
  <c r="F17" i="2"/>
  <c r="F9" i="2"/>
  <c r="F7" i="2"/>
  <c r="F4" i="2"/>
  <c r="F3" i="2"/>
  <c r="I30" i="2" a="1"/>
  <c r="I30" i="2" s="1"/>
  <c r="F34" i="2" a="1"/>
  <c r="F34" i="2" s="1"/>
  <c r="F28" i="2"/>
  <c r="D23" i="1" a="1"/>
  <c r="D23" i="1" s="1"/>
  <c r="F26" i="2"/>
  <c r="F27" i="2"/>
  <c r="F25" i="2"/>
  <c r="F22" i="2"/>
  <c r="F20" i="2"/>
  <c r="F21" i="2"/>
  <c r="F18" i="2"/>
  <c r="F16" i="2"/>
  <c r="F14" i="2"/>
  <c r="F13" i="2"/>
  <c r="F12" i="2"/>
  <c r="F11" i="2"/>
  <c r="F10" i="2"/>
  <c r="F6" i="2"/>
  <c r="D24" i="1" a="1"/>
  <c r="D24" i="1" s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 a="1"/>
  <c r="D7" i="1" s="1"/>
  <c r="D6" i="1"/>
  <c r="D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<sst xmlns="http://schemas.openxmlformats.org/spreadsheetml/2006/main" count="140" uniqueCount="87">
  <si>
    <t>TEXT MANUPULATION FORMULA</t>
  </si>
  <si>
    <t>CONCAT</t>
  </si>
  <si>
    <t>Function</t>
  </si>
  <si>
    <t>Sr. no</t>
  </si>
  <si>
    <t>TEXTJOIN</t>
  </si>
  <si>
    <t>TEXTSPLIT</t>
  </si>
  <si>
    <t>LEN</t>
  </si>
  <si>
    <t>LEFT</t>
  </si>
  <si>
    <t>RIGHT</t>
  </si>
  <si>
    <t>MID</t>
  </si>
  <si>
    <t>UPPER</t>
  </si>
  <si>
    <t>LOWER</t>
  </si>
  <si>
    <t>PROPER</t>
  </si>
  <si>
    <t>FIND</t>
  </si>
  <si>
    <t>SEARCH</t>
  </si>
  <si>
    <t>REPLACE</t>
  </si>
  <si>
    <t>SUBSTITUTE</t>
  </si>
  <si>
    <t>TRIM</t>
  </si>
  <si>
    <t>CLEAN</t>
  </si>
  <si>
    <t>TEXT</t>
  </si>
  <si>
    <t>EXACT</t>
  </si>
  <si>
    <t>UNIQUE</t>
  </si>
  <si>
    <t>Use Case</t>
  </si>
  <si>
    <t>To find the length</t>
  </si>
  <si>
    <t>To extract character from left side</t>
  </si>
  <si>
    <t>To extract character from right side</t>
  </si>
  <si>
    <t>To extract character from anywhere in text</t>
  </si>
  <si>
    <t>To Converts text to uppercase</t>
  </si>
  <si>
    <t>Converts text to lowercase</t>
  </si>
  <si>
    <t>Capitalizes the first letter of each word</t>
  </si>
  <si>
    <t>Finds the position of a specific character or substring (case-sensitive).</t>
  </si>
  <si>
    <t>Finds the position of a specific character or substring (not case-sensitive).</t>
  </si>
  <si>
    <t>Replaces occurrences of a substring within a string.</t>
  </si>
  <si>
    <t>Replaces part of a string based on position and length.</t>
  </si>
  <si>
    <t>Removes all extra spaces from text except single spaces between words.</t>
  </si>
  <si>
    <t>Removes all non-printable characters from text.</t>
  </si>
  <si>
    <t>Converts numbers/dates to text in a specified format.</t>
  </si>
  <si>
    <t>Checks if two text strings are exactly the same (case-sensitive).</t>
  </si>
  <si>
    <t>Extracts unique values from a text column.</t>
  </si>
  <si>
    <t>Splits text into rows or columns based on a delimiter.</t>
  </si>
  <si>
    <t>Formula Example</t>
  </si>
  <si>
    <t>Joins multiple strings into one.</t>
  </si>
  <si>
    <t>Shubham</t>
  </si>
  <si>
    <t>Waghmare</t>
  </si>
  <si>
    <t>Example</t>
  </si>
  <si>
    <t>Shubham Waghmare</t>
  </si>
  <si>
    <t>Result</t>
  </si>
  <si>
    <t>Sr. No</t>
  </si>
  <si>
    <t xml:space="preserve">   Shubham     C</t>
  </si>
  <si>
    <t>shubham waghmare</t>
  </si>
  <si>
    <t>Case1</t>
  </si>
  <si>
    <t>Case2</t>
  </si>
  <si>
    <t>Case3</t>
  </si>
  <si>
    <t>Case4</t>
  </si>
  <si>
    <t>shubham</t>
  </si>
  <si>
    <t>Rohan</t>
  </si>
  <si>
    <t>Vilas</t>
  </si>
  <si>
    <t>Kailash</t>
  </si>
  <si>
    <t>Explanation of Format Codes:</t>
  </si>
  <si>
    <r>
      <t>1. Dates</t>
    </r>
    <r>
      <rPr>
        <sz val="11"/>
        <color theme="1"/>
        <rFont val="Calibri"/>
        <family val="2"/>
        <scheme val="minor"/>
      </rPr>
      <t>:</t>
    </r>
  </si>
  <si>
    <r>
      <t>dd</t>
    </r>
    <r>
      <rPr>
        <sz val="11"/>
        <color theme="1"/>
        <rFont val="Calibri"/>
        <family val="2"/>
        <scheme val="minor"/>
      </rPr>
      <t>: Day (e.g., 01, 02, ... 31)</t>
    </r>
  </si>
  <si>
    <r>
      <t>mm</t>
    </r>
    <r>
      <rPr>
        <sz val="11"/>
        <color theme="1"/>
        <rFont val="Calibri"/>
        <family val="2"/>
        <scheme val="minor"/>
      </rPr>
      <t>: Month (e.g., 01, 02, ... 12)</t>
    </r>
  </si>
  <si>
    <r>
      <t>mmmm</t>
    </r>
    <r>
      <rPr>
        <sz val="11"/>
        <color theme="1"/>
        <rFont val="Calibri"/>
        <family val="2"/>
        <scheme val="minor"/>
      </rPr>
      <t>: Full month name (e.g., January)</t>
    </r>
  </si>
  <si>
    <r>
      <t>yyyy</t>
    </r>
    <r>
      <rPr>
        <sz val="11"/>
        <color theme="1"/>
        <rFont val="Calibri"/>
        <family val="2"/>
        <scheme val="minor"/>
      </rPr>
      <t>: 4-digit year (e.g., 2025)</t>
    </r>
  </si>
  <si>
    <r>
      <t>ddd</t>
    </r>
    <r>
      <rPr>
        <sz val="11"/>
        <color theme="1"/>
        <rFont val="Calibri"/>
        <family val="2"/>
        <scheme val="minor"/>
      </rPr>
      <t>: Day of the week (e.g., Mon)</t>
    </r>
  </si>
  <si>
    <r>
      <t>dddd</t>
    </r>
    <r>
      <rPr>
        <sz val="11"/>
        <color theme="1"/>
        <rFont val="Calibri"/>
        <family val="2"/>
        <scheme val="minor"/>
      </rPr>
      <t>: Full day of the week (e.g., Monday)</t>
    </r>
  </si>
  <si>
    <r>
      <t>2. Numbers</t>
    </r>
    <r>
      <rPr>
        <sz val="11"/>
        <color theme="1"/>
        <rFont val="Calibri"/>
        <family val="2"/>
        <scheme val="minor"/>
      </rPr>
      <t>:</t>
    </r>
  </si>
  <si>
    <r>
      <t>#</t>
    </r>
    <r>
      <rPr>
        <sz val="11"/>
        <color theme="1"/>
        <rFont val="Calibri"/>
        <family val="2"/>
        <scheme val="minor"/>
      </rPr>
      <t>: Placeholder for digits (skips leading zeros)</t>
    </r>
  </si>
  <si>
    <r>
      <t>0</t>
    </r>
    <r>
      <rPr>
        <sz val="11"/>
        <color theme="1"/>
        <rFont val="Calibri"/>
        <family val="2"/>
        <scheme val="minor"/>
      </rPr>
      <t xml:space="preserve">: Forces digits to appear (e.g., </t>
    </r>
    <r>
      <rPr>
        <sz val="10"/>
        <color theme="1"/>
        <rFont val="Arial Unicode MS"/>
      </rPr>
      <t>0.00</t>
    </r>
    <r>
      <rPr>
        <sz val="11"/>
        <color theme="1"/>
        <rFont val="Calibri"/>
        <family val="2"/>
        <scheme val="minor"/>
      </rPr>
      <t xml:space="preserve"> for two decimal places)</t>
    </r>
  </si>
  <si>
    <r>
      <t>,</t>
    </r>
    <r>
      <rPr>
        <sz val="11"/>
        <color theme="1"/>
        <rFont val="Calibri"/>
        <family val="2"/>
        <scheme val="minor"/>
      </rPr>
      <t>: Adds a thousand separator</t>
    </r>
  </si>
  <si>
    <r>
      <t>%</t>
    </r>
    <r>
      <rPr>
        <sz val="11"/>
        <color theme="1"/>
        <rFont val="Calibri"/>
        <family val="2"/>
        <scheme val="minor"/>
      </rPr>
      <t>: Converts to a percentage</t>
    </r>
  </si>
  <si>
    <t>VALUE</t>
  </si>
  <si>
    <r>
      <t>convert text that appears as a number into a numeric value</t>
    </r>
    <r>
      <rPr>
        <sz val="11"/>
        <color theme="1"/>
        <rFont val="Calibri"/>
        <family val="2"/>
        <scheme val="minor"/>
      </rPr>
      <t>.</t>
    </r>
  </si>
  <si>
    <t>UNIQUE FOR ROW</t>
  </si>
  <si>
    <t>UNIQUE FOR COLUMN</t>
  </si>
  <si>
    <t>nikita</t>
  </si>
  <si>
    <t>pradnya</t>
  </si>
  <si>
    <t>rohit</t>
  </si>
  <si>
    <t>Shubham       Waghmare</t>
  </si>
  <si>
    <t>Shubham waghmare</t>
  </si>
  <si>
    <t>First</t>
  </si>
  <si>
    <t>Last</t>
  </si>
  <si>
    <t>raj bose</t>
  </si>
  <si>
    <t>raj sirse</t>
  </si>
  <si>
    <t>shubham chandramani waghmare</t>
  </si>
  <si>
    <t>middle</t>
  </si>
  <si>
    <t>kunal chandrakant kanire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</si>
</sst>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0" fillId="2" borderId="0" xfId="0" applyFill="1" applyAlignment="1"/>
    <xf numFmtId="0" fontId="0" fillId="2" borderId="1" xfId="0" applyFill="1" applyBorder="1"/>
    <xf numFmtId="0" fontId="0" fillId="0" borderId="0" xfId="0"/>
    <xf numFmtId="0" fontId="0" fillId="0" borderId="0" xfId="0" applyAlignment="1"/>
    <xf numFmtId="0" fontId="0" fillId="0" borderId="0" xfId="0" applyFill="1" applyBorder="1" applyAlignment="1"/>
    <xf numFmtId="15" fontId="0" fillId="0" borderId="0" xfId="0" applyNumberFormat="1"/>
    <xf numFmtId="0" fontId="0" fillId="0" borderId="12" xfId="0" applyBorder="1" applyAlignment="1">
      <alignment horizontal="left" vertical="center" indent="1"/>
    </xf>
    <xf numFmtId="0" fontId="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2"/>
    </xf>
    <xf numFmtId="0" fontId="0" fillId="0" borderId="13" xfId="0" applyBorder="1"/>
    <xf numFmtId="0" fontId="3" fillId="0" borderId="1" xfId="0" applyFont="1" applyBorder="1" applyAlignment="1">
      <alignment vertical="center"/>
    </xf>
    <xf numFmtId="0" fontId="0" fillId="0" borderId="0" xfId="0" applyFill="1" applyBorder="1"/>
    <xf numFmtId="0" fontId="0" fillId="0" borderId="0" xfId="0" applyFont="1"/>
    <xf numFmtId="49" fontId="0" fillId="0" borderId="0" xfId="0" applyNumberFormat="1"/>
    <xf numFmtId="0" fontId="0" fillId="0" borderId="0" xfId="0" applyAlignment="1"/>
    <xf numFmtId="0" fontId="0" fillId="0" borderId="0" xfId="0" applyFill="1"/>
    <xf numFmtId="0" fontId="0" fillId="2" borderId="0" xfId="0" applyFill="1"/>
    <xf numFmtId="0" fontId="0" fillId="0" borderId="0" xfId="0"/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0" xfId="0" applyBorder="1"/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3" xfId="0" applyBorder="1"/>
    <xf numFmtId="0" fontId="0" fillId="0" borderId="0" xfId="0"/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 vertical="center"/>
    </xf>
    <xf numFmtId="15" fontId="0" fillId="0" borderId="0" xfId="0" applyNumberFormat="1"/>
    <xf numFmtId="0" fontId="0" fillId="0" borderId="0" xfId="0" applyFill="1"/>
    <xf numFmtId="0" fontId="0" fillId="2" borderId="0" xfId="0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opLeftCell="A15" zoomScale="194" zoomScaleNormal="194" workbookViewId="0">
      <selection activeCell="E19" sqref="E19:E22"/>
    </sheetView>
  </sheetViews>
  <sheetFormatPr defaultRowHeight="14.4"/>
  <cols>
    <col min="1" max="1" width="2.88671875" bestFit="1" customWidth="1"/>
    <col min="2" max="2" width="11.109375" bestFit="1" customWidth="1"/>
    <col min="3" max="3" width="30.88671875" customWidth="1"/>
    <col min="4" max="4" width="13" bestFit="1" customWidth="1"/>
    <col min="5" max="5" width="53.6640625" bestFit="1" customWidth="1"/>
  </cols>
  <sheetData>
    <row r="1" spans="1:5" ht="14.4" customHeight="1">
      <c r="A1" s="30" t="s">
        <v>0</v>
      </c>
      <c r="B1" s="31"/>
      <c r="C1" s="31"/>
      <c r="D1" s="31"/>
      <c r="E1" s="31"/>
    </row>
    <row r="2" spans="1:5" ht="14.4" customHeight="1">
      <c r="A2" s="30"/>
      <c r="B2" s="31"/>
      <c r="C2" s="31"/>
      <c r="D2" s="31"/>
      <c r="E2" s="31"/>
    </row>
    <row r="3" spans="1:5" ht="14.4" customHeight="1" thickBot="1">
      <c r="A3" s="32"/>
      <c r="B3" s="33"/>
      <c r="C3" s="33"/>
      <c r="D3" s="33"/>
      <c r="E3" s="33"/>
    </row>
    <row r="4" spans="1:5" ht="18.600000000000001" thickBot="1">
      <c r="A4" s="1" t="s">
        <v>3</v>
      </c>
      <c r="B4" s="2" t="s">
        <v>2</v>
      </c>
      <c r="C4" s="2" t="s">
        <v>22</v>
      </c>
      <c r="D4" s="3" t="s">
        <v>40</v>
      </c>
      <c r="E4" s="21" t="s">
        <v>58</v>
      </c>
    </row>
    <row r="5" spans="1:5">
      <c r="A5" s="4">
        <v>1</v>
      </c>
      <c r="B5" s="5" t="s">
        <v>1</v>
      </c>
      <c r="C5" t="s">
        <v>41</v>
      </c>
      <c r="D5" s="6" t="str">
        <f>_xlfn.CONCAT(A5,B5)</f>
        <v>1CONCAT</v>
      </c>
      <c r="E5" s="17"/>
    </row>
    <row r="6" spans="1:5">
      <c r="A6" s="4">
        <v>2</v>
      </c>
      <c r="B6" s="5" t="s">
        <v>4</v>
      </c>
      <c r="C6" t="s">
        <v>41</v>
      </c>
      <c r="D6" s="6" t="str">
        <f>_xlfn.TEXTJOIN(", ", TRUE, B5:B7)</f>
        <v>CONCAT, TEXTJOIN, TEXTSPLIT</v>
      </c>
      <c r="E6" s="18" t="s">
        <v>59</v>
      </c>
    </row>
    <row r="7" spans="1:5">
      <c r="A7" s="4">
        <v>3</v>
      </c>
      <c r="B7" s="5" t="s">
        <v>5</v>
      </c>
      <c r="C7" s="5" t="s">
        <v>39</v>
      </c>
      <c r="D7" s="6" t="str" cm="1">
        <f t="array" ref="D7">_xlfn.TEXTSPLIT(C7, ",")</f>
        <v>Splits text into rows or columns based on a delimiter.</v>
      </c>
      <c r="E7" s="17"/>
    </row>
    <row r="8" spans="1:5">
      <c r="A8" s="4">
        <v>4</v>
      </c>
      <c r="B8" s="5" t="s">
        <v>6</v>
      </c>
      <c r="C8" s="5" t="s">
        <v>23</v>
      </c>
      <c r="D8" s="6">
        <f>LEN(B8)</f>
        <v>3</v>
      </c>
      <c r="E8" s="17"/>
    </row>
    <row r="9" spans="1:5">
      <c r="A9" s="4">
        <v>5</v>
      </c>
      <c r="B9" s="5" t="s">
        <v>7</v>
      </c>
      <c r="C9" s="5" t="s">
        <v>24</v>
      </c>
      <c r="D9" s="6" t="str">
        <f>LEFT(B9, 2)</f>
        <v>LE</v>
      </c>
      <c r="E9" s="19" t="s">
        <v>60</v>
      </c>
    </row>
    <row r="10" spans="1:5">
      <c r="A10" s="4">
        <v>6</v>
      </c>
      <c r="B10" s="5" t="s">
        <v>8</v>
      </c>
      <c r="C10" s="5" t="s">
        <v>25</v>
      </c>
      <c r="D10" s="6" t="str">
        <f>RIGHT(B10, 3)</f>
        <v>GHT</v>
      </c>
      <c r="E10" s="19" t="s">
        <v>61</v>
      </c>
    </row>
    <row r="11" spans="1:5">
      <c r="A11" s="4">
        <v>7</v>
      </c>
      <c r="B11" s="5" t="s">
        <v>9</v>
      </c>
      <c r="C11" s="5" t="s">
        <v>26</v>
      </c>
      <c r="D11" s="6" t="str">
        <f>MID(C11, 3, 5)</f>
        <v xml:space="preserve"> extr</v>
      </c>
      <c r="E11" s="19" t="s">
        <v>62</v>
      </c>
    </row>
    <row r="12" spans="1:5">
      <c r="A12" s="4">
        <v>8</v>
      </c>
      <c r="B12" s="5" t="s">
        <v>10</v>
      </c>
      <c r="C12" s="5" t="s">
        <v>27</v>
      </c>
      <c r="D12" s="6" t="str">
        <f>UPPER(B12)</f>
        <v>UPPER</v>
      </c>
      <c r="E12" s="19" t="s">
        <v>63</v>
      </c>
    </row>
    <row r="13" spans="1:5">
      <c r="A13" s="4">
        <v>9</v>
      </c>
      <c r="B13" s="5" t="s">
        <v>11</v>
      </c>
      <c r="C13" s="5" t="s">
        <v>28</v>
      </c>
      <c r="D13" s="6" t="str">
        <f>LOWER(B13)</f>
        <v>lower</v>
      </c>
      <c r="E13" s="19" t="s">
        <v>64</v>
      </c>
    </row>
    <row r="14" spans="1:5">
      <c r="A14" s="4">
        <v>10</v>
      </c>
      <c r="B14" s="5" t="s">
        <v>12</v>
      </c>
      <c r="C14" s="5" t="s">
        <v>29</v>
      </c>
      <c r="D14" s="6" t="str">
        <f>PROPER(B14)</f>
        <v>Proper</v>
      </c>
      <c r="E14" s="19" t="s">
        <v>65</v>
      </c>
    </row>
    <row r="15" spans="1:5">
      <c r="A15" s="4">
        <v>11</v>
      </c>
      <c r="B15" s="5" t="s">
        <v>13</v>
      </c>
      <c r="C15" s="5" t="s">
        <v>30</v>
      </c>
      <c r="D15" s="6">
        <f>FIND("N", B15)</f>
        <v>3</v>
      </c>
      <c r="E15" s="17"/>
    </row>
    <row r="16" spans="1:5">
      <c r="A16" s="4">
        <v>12</v>
      </c>
      <c r="B16" s="5" t="s">
        <v>14</v>
      </c>
      <c r="C16" s="5" t="s">
        <v>31</v>
      </c>
      <c r="D16" s="6">
        <f>SEARCH("r", B16)</f>
        <v>4</v>
      </c>
      <c r="E16" s="18" t="s">
        <v>66</v>
      </c>
    </row>
    <row r="17" spans="1:5">
      <c r="A17" s="4">
        <v>13</v>
      </c>
      <c r="B17" s="5" t="s">
        <v>15</v>
      </c>
      <c r="C17" s="5" t="s">
        <v>33</v>
      </c>
      <c r="D17" s="6" t="str">
        <f>REPLACE(B17, 3, 5, "new")</f>
        <v>REnew</v>
      </c>
      <c r="E17" s="17"/>
    </row>
    <row r="18" spans="1:5">
      <c r="A18" s="4">
        <v>14</v>
      </c>
      <c r="B18" s="5" t="s">
        <v>16</v>
      </c>
      <c r="C18" s="5" t="s">
        <v>32</v>
      </c>
      <c r="D18" s="6" t="str">
        <f>SUBSTITUTE(B18, "sub", "in")</f>
        <v>SUBSTITUTE</v>
      </c>
      <c r="E18" s="17"/>
    </row>
    <row r="19" spans="1:5">
      <c r="A19" s="4">
        <v>15</v>
      </c>
      <c r="B19" s="5" t="s">
        <v>17</v>
      </c>
      <c r="C19" s="5" t="s">
        <v>34</v>
      </c>
      <c r="D19" s="6" t="str">
        <f>TRIM(B19)</f>
        <v>TRIM</v>
      </c>
      <c r="E19" s="19" t="s">
        <v>67</v>
      </c>
    </row>
    <row r="20" spans="1:5">
      <c r="A20" s="4">
        <v>16</v>
      </c>
      <c r="B20" s="5" t="s">
        <v>18</v>
      </c>
      <c r="C20" s="5" t="s">
        <v>35</v>
      </c>
      <c r="D20" s="6" t="str">
        <f>CLEAN(B20)</f>
        <v>CLEAN</v>
      </c>
      <c r="E20" s="19" t="s">
        <v>68</v>
      </c>
    </row>
    <row r="21" spans="1:5">
      <c r="A21" s="4">
        <v>17</v>
      </c>
      <c r="B21" s="5" t="s">
        <v>19</v>
      </c>
      <c r="C21" s="5" t="s">
        <v>36</v>
      </c>
      <c r="D21" s="6" t="str">
        <f>TEXT(A1, "dd-mmm-yyyy")</f>
        <v>TEXT MANUPULATION FORMULA</v>
      </c>
      <c r="E21" s="19" t="s">
        <v>69</v>
      </c>
    </row>
    <row r="22" spans="1:5">
      <c r="A22" s="4">
        <v>18</v>
      </c>
      <c r="B22" s="5" t="s">
        <v>20</v>
      </c>
      <c r="C22" s="5" t="s">
        <v>37</v>
      </c>
      <c r="D22" s="6" t="b">
        <f>EXACT(A1, B1)</f>
        <v>0</v>
      </c>
      <c r="E22" s="19" t="s">
        <v>70</v>
      </c>
    </row>
    <row r="23" spans="1:5">
      <c r="A23" s="4">
        <v>19</v>
      </c>
      <c r="B23" s="22" t="s">
        <v>71</v>
      </c>
      <c r="C23" s="23" t="s">
        <v>72</v>
      </c>
      <c r="D23" s="6" t="e" cm="1">
        <f t="array" ref="D23">VALUE(text)</f>
        <v>#NAME?</v>
      </c>
      <c r="E23" s="19"/>
    </row>
    <row r="24" spans="1:5" ht="15" thickBot="1">
      <c r="A24" s="7">
        <v>20</v>
      </c>
      <c r="B24" s="8" t="s">
        <v>21</v>
      </c>
      <c r="C24" s="8" t="s">
        <v>38</v>
      </c>
      <c r="D24" s="9" t="str" cm="1">
        <f t="array" ref="D24:D32">_xlfn.UNIQUE(A1:A10)</f>
        <v>TEXT MANUPULATION FORMULA</v>
      </c>
      <c r="E24" s="20"/>
    </row>
    <row r="25" spans="1:5">
      <c r="D25">
        <v>0</v>
      </c>
    </row>
    <row r="26" spans="1:5">
      <c r="D26" t="str">
        <v>Sr. no</v>
      </c>
    </row>
    <row r="27" spans="1:5">
      <c r="D27">
        <v>1</v>
      </c>
    </row>
    <row r="28" spans="1:5">
      <c r="D28">
        <v>2</v>
      </c>
    </row>
    <row r="29" spans="1:5">
      <c r="D29">
        <v>3</v>
      </c>
    </row>
    <row r="30" spans="1:5">
      <c r="D30">
        <v>4</v>
      </c>
    </row>
    <row r="31" spans="1:5">
      <c r="D31">
        <v>5</v>
      </c>
    </row>
    <row r="32" spans="1:5">
      <c r="D32">
        <v>6</v>
      </c>
    </row>
  </sheetData>
  <mergeCells count="1">
    <mergeCell ref="A1:E3"/>
  </mergeCells>
  <pageMargins left="0.7" right="0.7" top="0.75" bottom="0.75" header="0.3" footer="0.3"/>
  <ignoredErrors>
    <ignoredError sqref="D2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B8C7-30D3-4AE7-86A7-E4636872E69C}">
  <dimension ref="A1:K44"/>
  <sheetViews>
    <sheetView tabSelected="1" topLeftCell="A9" zoomScale="174" zoomScaleNormal="174" workbookViewId="0">
      <selection activeCell="B30" sqref="B30:C39"/>
    </sheetView>
  </sheetViews>
  <sheetFormatPr defaultRowHeight="14.4"/>
  <cols>
    <col min="2" max="2" width="11.109375" bestFit="1" customWidth="1"/>
    <col min="4" max="4" width="18" bestFit="1" customWidth="1"/>
    <col min="5" max="5" width="9.88671875" bestFit="1" customWidth="1"/>
    <col min="6" max="6" width="19.6640625" customWidth="1"/>
    <col min="7" max="7" width="18.88671875" bestFit="1" customWidth="1"/>
    <col min="8" max="8" width="29.33203125" bestFit="1" customWidth="1"/>
    <col min="9" max="9" width="12.44140625" bestFit="1" customWidth="1"/>
    <col min="10" max="10" width="20.88671875" bestFit="1" customWidth="1"/>
  </cols>
  <sheetData>
    <row r="1" spans="1:11" ht="15" thickBot="1"/>
    <row r="2" spans="1:11" ht="15" thickBot="1">
      <c r="A2" s="12" t="s">
        <v>47</v>
      </c>
      <c r="B2" s="35" t="s">
        <v>2</v>
      </c>
      <c r="C2" s="36"/>
      <c r="D2" s="35" t="s">
        <v>44</v>
      </c>
      <c r="E2" s="36"/>
      <c r="F2" s="35" t="s">
        <v>46</v>
      </c>
      <c r="G2" s="36"/>
    </row>
    <row r="3" spans="1:11">
      <c r="A3">
        <v>1</v>
      </c>
      <c r="B3" s="37" t="s">
        <v>1</v>
      </c>
      <c r="C3" s="37"/>
      <c r="D3" t="s">
        <v>42</v>
      </c>
      <c r="E3" t="s">
        <v>43</v>
      </c>
      <c r="F3" t="str">
        <f>_xlfn.CONCAT(D3," ",E3)</f>
        <v>Shubham Waghmare</v>
      </c>
    </row>
    <row r="4" spans="1:11">
      <c r="A4">
        <v>2</v>
      </c>
      <c r="B4" s="34" t="s">
        <v>4</v>
      </c>
      <c r="C4" s="34"/>
      <c r="D4" t="s">
        <v>42</v>
      </c>
      <c r="E4" t="s">
        <v>43</v>
      </c>
      <c r="F4" t="str">
        <f>_xlfn.TEXTJOIN(" ",1,D3,D1,E3)</f>
        <v>Shubham Waghmare</v>
      </c>
      <c r="G4" t="str">
        <f>_xlfn.TEXTJOIN("|",TRUE,D4,E4)</f>
        <v>Shubham|Waghmare</v>
      </c>
      <c r="H4" t="str">
        <f>_xlfn.TEXTJOIN("|",FALSE,D4,E4,H9,F7)</f>
        <v xml:space="preserve">Shubham|Waghmare||Shubham </v>
      </c>
    </row>
    <row r="5" spans="1:11">
      <c r="A5">
        <v>3</v>
      </c>
      <c r="B5" s="34" t="s">
        <v>5</v>
      </c>
      <c r="C5" s="34"/>
      <c r="D5" s="38" t="s">
        <v>45</v>
      </c>
      <c r="E5" s="38"/>
      <c r="F5" t="str" cm="1">
        <f t="array" ref="F5:G5">_xlfn.TEXTSPLIT(D5," ")</f>
        <v>Shubham</v>
      </c>
      <c r="G5" t="str">
        <v>Waghmare</v>
      </c>
      <c r="H5" t="str" cm="1">
        <f t="array" ref="H5:I5">_xlfn.TEXTSPLIT(D5," ")</f>
        <v>Shubham</v>
      </c>
      <c r="I5" t="str">
        <v>Waghmare</v>
      </c>
    </row>
    <row r="6" spans="1:11">
      <c r="A6">
        <v>4</v>
      </c>
      <c r="B6" s="34" t="s">
        <v>6</v>
      </c>
      <c r="C6" s="34"/>
      <c r="D6" s="38" t="s">
        <v>78</v>
      </c>
      <c r="E6" s="38"/>
      <c r="F6" s="38">
        <f>LEN(D6)</f>
        <v>22</v>
      </c>
      <c r="G6" s="38"/>
    </row>
    <row r="7" spans="1:11">
      <c r="A7">
        <v>5</v>
      </c>
      <c r="B7" s="34" t="s">
        <v>7</v>
      </c>
      <c r="C7" s="34"/>
      <c r="D7" s="38" t="s">
        <v>45</v>
      </c>
      <c r="E7" s="38"/>
      <c r="F7" s="38" t="str">
        <f>LEFT(D7,8)</f>
        <v xml:space="preserve">Shubham </v>
      </c>
      <c r="G7" s="38"/>
    </row>
    <row r="8" spans="1:11">
      <c r="A8">
        <v>6</v>
      </c>
      <c r="B8" s="34" t="s">
        <v>8</v>
      </c>
      <c r="C8" s="34"/>
      <c r="D8" s="38" t="s">
        <v>45</v>
      </c>
      <c r="E8" s="38"/>
      <c r="F8" s="38" t="str">
        <f>RIGHT(D8,8)</f>
        <v>Waghmare</v>
      </c>
      <c r="G8" s="38"/>
    </row>
    <row r="9" spans="1:11">
      <c r="A9">
        <v>7</v>
      </c>
      <c r="B9" s="34" t="s">
        <v>9</v>
      </c>
      <c r="C9" s="34"/>
      <c r="D9" s="38" t="s">
        <v>45</v>
      </c>
      <c r="E9" s="38"/>
      <c r="F9" s="38" t="str">
        <f>MID(D9,3,3)</f>
        <v>ubh</v>
      </c>
      <c r="G9" s="38"/>
    </row>
    <row r="10" spans="1:11">
      <c r="A10">
        <v>8</v>
      </c>
      <c r="B10" s="34" t="s">
        <v>10</v>
      </c>
      <c r="C10" s="34"/>
      <c r="D10" s="38" t="s">
        <v>45</v>
      </c>
      <c r="E10" s="38"/>
      <c r="F10" s="38" t="str">
        <f>UPPER(D10)</f>
        <v>SHUBHAM WAGHMARE</v>
      </c>
      <c r="G10" s="38"/>
    </row>
    <row r="11" spans="1:11">
      <c r="A11">
        <v>9</v>
      </c>
      <c r="B11" s="34" t="s">
        <v>11</v>
      </c>
      <c r="C11" s="34"/>
      <c r="D11" s="38" t="s">
        <v>45</v>
      </c>
      <c r="E11" s="38"/>
      <c r="F11" s="38" t="str">
        <f>LOWER(D11)</f>
        <v>shubham waghmare</v>
      </c>
      <c r="G11" s="38"/>
      <c r="I11" t="s">
        <v>80</v>
      </c>
      <c r="J11" t="s">
        <v>81</v>
      </c>
    </row>
    <row r="12" spans="1:11">
      <c r="A12">
        <v>10</v>
      </c>
      <c r="B12" s="34" t="s">
        <v>12</v>
      </c>
      <c r="C12" s="34"/>
      <c r="D12" s="38" t="s">
        <v>49</v>
      </c>
      <c r="E12" s="38"/>
      <c r="F12" s="38" t="str">
        <f>PROPER(D12)</f>
        <v>Shubham Waghmare</v>
      </c>
      <c r="G12" s="38"/>
      <c r="H12" t="s">
        <v>79</v>
      </c>
      <c r="I12" t="str">
        <f>LEFT(H12,SEARCH(" ",H12)-1)</f>
        <v>Shubham</v>
      </c>
      <c r="J12" t="str">
        <f>RIGHT(H12,LEN(H12)-SEARCH(" ",H12))</f>
        <v>waghmare</v>
      </c>
    </row>
    <row r="13" spans="1:11">
      <c r="A13" s="41">
        <v>11</v>
      </c>
      <c r="B13" s="39" t="s">
        <v>13</v>
      </c>
      <c r="C13" s="39"/>
      <c r="D13" t="s">
        <v>45</v>
      </c>
      <c r="E13" t="s">
        <v>50</v>
      </c>
      <c r="F13" s="43" t="e">
        <f>FIND("s",D13)</f>
        <v>#VALUE!</v>
      </c>
      <c r="G13" s="43"/>
      <c r="H13" t="s">
        <v>82</v>
      </c>
      <c r="I13" s="28" t="str">
        <f t="shared" ref="I13:I14" si="0">LEFT(H13,SEARCH(" ",H13)-1)</f>
        <v>raj</v>
      </c>
      <c r="J13" s="28" t="str">
        <f t="shared" ref="J13:J14" si="1">RIGHT(H13,LEN(H13)-SEARCH(" ",H13))</f>
        <v>bose</v>
      </c>
    </row>
    <row r="14" spans="1:11">
      <c r="A14" s="41"/>
      <c r="B14" s="39"/>
      <c r="C14" s="39"/>
      <c r="D14" t="s">
        <v>45</v>
      </c>
      <c r="E14" t="s">
        <v>51</v>
      </c>
      <c r="F14" s="43">
        <f>FIND("S",D13)</f>
        <v>1</v>
      </c>
      <c r="G14" s="43"/>
      <c r="H14" t="s">
        <v>83</v>
      </c>
      <c r="I14" s="28" t="str">
        <f t="shared" si="0"/>
        <v>raj</v>
      </c>
      <c r="J14" s="28" t="str">
        <f t="shared" si="1"/>
        <v>sirse</v>
      </c>
    </row>
    <row r="15" spans="1:11">
      <c r="A15" s="41"/>
      <c r="B15" s="39"/>
      <c r="C15" s="39"/>
      <c r="D15" t="s">
        <v>45</v>
      </c>
      <c r="E15" t="s">
        <v>52</v>
      </c>
      <c r="F15" s="43">
        <f>FIND("h",D15,6)</f>
        <v>12</v>
      </c>
      <c r="G15" s="43"/>
      <c r="I15" t="s">
        <v>80</v>
      </c>
      <c r="J15" s="28" t="s">
        <v>85</v>
      </c>
      <c r="K15" t="s">
        <v>81</v>
      </c>
    </row>
    <row r="16" spans="1:11">
      <c r="A16" s="41"/>
      <c r="B16" s="39"/>
      <c r="C16" s="39"/>
      <c r="D16" t="s">
        <v>45</v>
      </c>
      <c r="E16" t="s">
        <v>53</v>
      </c>
      <c r="F16" s="44" t="e">
        <f>FIND("x",D16)</f>
        <v>#VALUE!</v>
      </c>
      <c r="G16" s="44"/>
      <c r="H16" s="29" t="s">
        <v>84</v>
      </c>
      <c r="I16" t="str">
        <f>IFERROR(LEFT(H16,SEARCH(" ",H16)),H16)</f>
        <v xml:space="preserve">shubham </v>
      </c>
      <c r="J16" s="28" t="str">
        <f>IFERROR(MID(H16,SEARCH(" ",H16)+1,(SEARCH(" ",H16)-SEARCH(" ",H16,SEARCH(" ",H16)+1))*-1),"Middle Name Not Given")</f>
        <v xml:space="preserve">chandramani </v>
      </c>
      <c r="K16" s="28" t="str">
        <f>IFERROR(IFERROR(RIGHT(H16,LEN(H16)-SEARCH(" ",H16,SEARCH(" ",H16)+1)),RIGHT(H16,LEN(H16)-SEARCH(" ",H16))),"Last name Not Given")</f>
        <v>waghmare</v>
      </c>
    </row>
    <row r="17" spans="1:11">
      <c r="A17" s="41">
        <v>12</v>
      </c>
      <c r="B17" s="39" t="s">
        <v>14</v>
      </c>
      <c r="C17" s="39"/>
      <c r="D17" s="14" t="s">
        <v>45</v>
      </c>
      <c r="E17" t="s">
        <v>50</v>
      </c>
      <c r="F17" s="38">
        <f>SEARCH("G",D17)</f>
        <v>11</v>
      </c>
      <c r="G17" s="38"/>
      <c r="H17" t="s">
        <v>86</v>
      </c>
      <c r="I17" s="29" t="str">
        <f t="shared" ref="I17:I19" si="2">IFERROR(LEFT(H17,SEARCH(" ",H17)),H17)</f>
        <v xml:space="preserve">kunal </v>
      </c>
      <c r="J17" s="29" t="str">
        <f t="shared" ref="J17:J19" si="3">IFERROR(MID(H17,SEARCH(" ",H17)+1,(SEARCH(" ",H17)-SEARCH(" ",H17,SEARCH(" ",H17)+1))*-1),"Middle Name Not Given")</f>
        <v xml:space="preserve">chandrakant </v>
      </c>
      <c r="K17" s="29" t="str">
        <f t="shared" ref="K17:K19" si="4">IFERROR(IFERROR(RIGHT(H17,LEN(H17)-SEARCH(" ",H17,SEARCH(" ",H17)+1)),RIGHT(H17,LEN(H17)-SEARCH(" ",H17))),"Last name Not Given")</f>
        <v>kanire</v>
      </c>
    </row>
    <row r="18" spans="1:11">
      <c r="A18" s="41"/>
      <c r="B18" s="39"/>
      <c r="C18" s="39"/>
      <c r="D18" s="14" t="s">
        <v>45</v>
      </c>
      <c r="E18" s="14" t="s">
        <v>51</v>
      </c>
      <c r="F18" s="38" t="e">
        <f>SEARCH("x",D18)</f>
        <v>#VALUE!</v>
      </c>
      <c r="G18" s="38"/>
      <c r="H18" t="s">
        <v>49</v>
      </c>
      <c r="I18" s="29" t="str">
        <f t="shared" si="2"/>
        <v xml:space="preserve">shubham </v>
      </c>
      <c r="J18" s="29" t="str">
        <f t="shared" si="3"/>
        <v>Middle Name Not Given</v>
      </c>
      <c r="K18" s="29" t="str">
        <f t="shared" si="4"/>
        <v>waghmare</v>
      </c>
    </row>
    <row r="19" spans="1:11">
      <c r="A19">
        <v>13</v>
      </c>
      <c r="B19" s="34" t="s">
        <v>15</v>
      </c>
      <c r="C19" s="34"/>
      <c r="D19" s="38" t="s">
        <v>45</v>
      </c>
      <c r="E19" s="38"/>
      <c r="F19" s="38" t="str">
        <f>REPLACE(D19,2,3,"dfd")</f>
        <v>Sdfdham Waghmare</v>
      </c>
      <c r="G19" s="38"/>
      <c r="H19" t="s">
        <v>54</v>
      </c>
      <c r="I19" s="29" t="str">
        <f t="shared" si="2"/>
        <v>shubham</v>
      </c>
      <c r="J19" s="29" t="str">
        <f t="shared" si="3"/>
        <v>Middle Name Not Given</v>
      </c>
      <c r="K19" s="29" t="str">
        <f t="shared" si="4"/>
        <v>Last name Not Given</v>
      </c>
    </row>
    <row r="20" spans="1:11">
      <c r="A20" s="41">
        <v>14</v>
      </c>
      <c r="B20" s="39" t="s">
        <v>16</v>
      </c>
      <c r="C20" s="39"/>
      <c r="D20" s="14" t="s">
        <v>45</v>
      </c>
      <c r="E20" s="15" t="s">
        <v>50</v>
      </c>
      <c r="F20" s="38" t="str">
        <f>SUBSTITUTE(D20,"h","C")</f>
        <v>SCubCam WagCmare</v>
      </c>
      <c r="G20" s="38"/>
    </row>
    <row r="21" spans="1:11">
      <c r="A21" s="41"/>
      <c r="B21" s="39"/>
      <c r="C21" s="39"/>
      <c r="D21" s="14" t="s">
        <v>45</v>
      </c>
      <c r="E21" s="15" t="s">
        <v>51</v>
      </c>
      <c r="F21" s="38" t="str">
        <f>SUBSTITUTE(D21,"s","dd")</f>
        <v>Shubham Waghmare</v>
      </c>
      <c r="G21" s="38"/>
    </row>
    <row r="22" spans="1:11">
      <c r="A22">
        <v>15</v>
      </c>
      <c r="B22" s="34" t="s">
        <v>17</v>
      </c>
      <c r="C22" s="34"/>
      <c r="D22" s="40" t="s">
        <v>48</v>
      </c>
      <c r="E22" s="40"/>
      <c r="F22" s="38" t="str">
        <f>TRIM(D22)</f>
        <v>Shubham C</v>
      </c>
      <c r="G22" s="38"/>
      <c r="H22">
        <f>LEN(D22)</f>
        <v>16</v>
      </c>
      <c r="I22">
        <f>LEN(F22)</f>
        <v>9</v>
      </c>
    </row>
    <row r="23" spans="1:11">
      <c r="A23">
        <v>16</v>
      </c>
      <c r="B23" s="34" t="s">
        <v>18</v>
      </c>
      <c r="C23" s="34"/>
      <c r="D23" s="15"/>
      <c r="F23" s="38">
        <f>LEN(D22)</f>
        <v>16</v>
      </c>
      <c r="G23" s="38"/>
      <c r="H23">
        <f>LEN(F22)</f>
        <v>9</v>
      </c>
    </row>
    <row r="24" spans="1:11">
      <c r="A24" s="41">
        <v>17</v>
      </c>
      <c r="B24" s="39" t="s">
        <v>19</v>
      </c>
      <c r="C24" s="39"/>
      <c r="D24" s="42">
        <v>45678</v>
      </c>
      <c r="E24" s="42"/>
      <c r="F24" s="38" t="str">
        <f>TEXT(D24, "dd/mmm/yy")</f>
        <v>21/Jan/25</v>
      </c>
      <c r="G24" s="38"/>
    </row>
    <row r="25" spans="1:11">
      <c r="A25" s="41"/>
      <c r="B25" s="39"/>
      <c r="C25" s="39"/>
      <c r="D25" s="38">
        <v>12345.678</v>
      </c>
      <c r="E25" s="38"/>
      <c r="F25" s="44" t="str">
        <f>TEXT(D25, "$#,##0.00")</f>
        <v>$12,345.68</v>
      </c>
      <c r="G25" s="44"/>
    </row>
    <row r="26" spans="1:11">
      <c r="A26" s="41"/>
      <c r="B26" s="39"/>
      <c r="C26" s="39"/>
      <c r="D26" s="16"/>
      <c r="F26" s="38" t="str">
        <f>"The payment of " &amp; TEXT(D25, "$#,##0.00") &amp; " is due on " &amp; TEXT(D24, "dddd, mmmm d, yyyy")</f>
        <v>The payment of $12,345.68 is due on Tuesday, January 21, 2025</v>
      </c>
      <c r="G26" s="38"/>
    </row>
    <row r="27" spans="1:11">
      <c r="A27">
        <v>18</v>
      </c>
      <c r="B27" s="34" t="s">
        <v>20</v>
      </c>
      <c r="C27" s="34"/>
      <c r="D27" t="s">
        <v>54</v>
      </c>
      <c r="E27" t="s">
        <v>42</v>
      </c>
      <c r="F27" s="38" t="b">
        <f>EXACT(D27,E27)</f>
        <v>0</v>
      </c>
      <c r="G27" s="38"/>
    </row>
    <row r="28" spans="1:11">
      <c r="A28" s="41">
        <v>19</v>
      </c>
      <c r="B28" s="39" t="s">
        <v>71</v>
      </c>
      <c r="C28" s="39"/>
      <c r="D28" s="24">
        <v>12345</v>
      </c>
      <c r="F28" s="38">
        <f>VALUE(D28)</f>
        <v>12345</v>
      </c>
      <c r="G28" s="38"/>
      <c r="H28" s="24"/>
      <c r="K28" s="24"/>
    </row>
    <row r="29" spans="1:11">
      <c r="A29" s="41"/>
      <c r="B29" s="39"/>
      <c r="C29" s="39"/>
      <c r="D29">
        <v>12345</v>
      </c>
      <c r="F29" s="38"/>
      <c r="G29" s="38"/>
    </row>
    <row r="30" spans="1:11">
      <c r="A30" s="41">
        <v>20</v>
      </c>
      <c r="B30" s="39" t="s">
        <v>73</v>
      </c>
      <c r="C30" s="39"/>
      <c r="D30" s="26" t="s">
        <v>42</v>
      </c>
      <c r="E30" s="10" t="s">
        <v>50</v>
      </c>
      <c r="F30" s="11" t="str" cm="1">
        <f t="array" ref="F30:F32">_xlfn.UNIQUE(D30:D36,0,1)</f>
        <v>Rohan</v>
      </c>
      <c r="G30" s="14"/>
      <c r="H30" t="str" cm="1">
        <f t="array" ref="H30:H33">_xlfn.UNIQUE(D30:D34,0)</f>
        <v>Shubham</v>
      </c>
      <c r="I30" t="str" cm="1">
        <f t="array" ref="I30:I32">_xlfn.UNIQUE(D30:D34,0,1)</f>
        <v>Rohan</v>
      </c>
    </row>
    <row r="31" spans="1:11">
      <c r="A31" s="41"/>
      <c r="B31" s="39"/>
      <c r="C31" s="39"/>
      <c r="D31" s="26" t="s">
        <v>55</v>
      </c>
      <c r="E31" s="10"/>
      <c r="F31" s="11" t="str">
        <v>Vilas</v>
      </c>
      <c r="G31" s="14"/>
      <c r="H31" t="str">
        <v>Rohan</v>
      </c>
      <c r="I31" t="str">
        <v>Vilas</v>
      </c>
    </row>
    <row r="32" spans="1:11">
      <c r="A32" s="41"/>
      <c r="B32" s="39"/>
      <c r="C32" s="39"/>
      <c r="D32" s="26" t="s">
        <v>56</v>
      </c>
      <c r="E32" s="10"/>
      <c r="F32" s="11" t="str">
        <v>Kailash</v>
      </c>
      <c r="G32" s="14"/>
      <c r="H32" t="str">
        <v>Vilas</v>
      </c>
      <c r="I32" t="str">
        <v>Kailash</v>
      </c>
    </row>
    <row r="33" spans="1:11">
      <c r="A33" s="41"/>
      <c r="B33" s="39"/>
      <c r="C33" s="39"/>
      <c r="D33" s="26" t="s">
        <v>57</v>
      </c>
      <c r="F33" s="45"/>
      <c r="G33" s="45"/>
      <c r="H33" t="str">
        <v>Kailash</v>
      </c>
    </row>
    <row r="34" spans="1:11">
      <c r="A34" s="41"/>
      <c r="B34" s="39"/>
      <c r="C34" s="39"/>
      <c r="D34" s="26" t="s">
        <v>42</v>
      </c>
      <c r="E34" s="10" t="s">
        <v>51</v>
      </c>
      <c r="F34" s="11" t="str" cm="1">
        <f t="array" ref="F34:F38">_xlfn.UNIQUE(D30:D36,0,0)</f>
        <v>Shubham</v>
      </c>
      <c r="G34" s="14"/>
    </row>
    <row r="35" spans="1:11">
      <c r="A35" s="41"/>
      <c r="B35" s="39"/>
      <c r="C35" s="39"/>
      <c r="D35" s="26"/>
      <c r="E35" s="10"/>
      <c r="F35" s="11" t="str">
        <v>Rohan</v>
      </c>
      <c r="G35" s="14"/>
    </row>
    <row r="36" spans="1:11">
      <c r="A36" s="41"/>
      <c r="B36" s="39"/>
      <c r="C36" s="39"/>
      <c r="D36" s="26"/>
      <c r="E36" s="10"/>
      <c r="F36" s="11" t="str">
        <v>Vilas</v>
      </c>
      <c r="G36" s="14"/>
    </row>
    <row r="37" spans="1:11">
      <c r="A37" s="41"/>
      <c r="B37" s="39"/>
      <c r="C37" s="39"/>
      <c r="E37" s="10"/>
      <c r="F37" s="11" t="str">
        <v>Kailash</v>
      </c>
      <c r="G37" s="14"/>
    </row>
    <row r="38" spans="1:11">
      <c r="A38" s="41"/>
      <c r="B38" s="39"/>
      <c r="C38" s="39"/>
      <c r="E38" s="10"/>
      <c r="F38" s="11">
        <v>0</v>
      </c>
      <c r="G38" s="14"/>
    </row>
    <row r="39" spans="1:11">
      <c r="A39">
        <v>21</v>
      </c>
      <c r="B39" s="40" t="s">
        <v>74</v>
      </c>
      <c r="C39" s="40"/>
      <c r="D39" s="27" t="s">
        <v>54</v>
      </c>
      <c r="E39" s="27" t="s">
        <v>75</v>
      </c>
      <c r="F39" s="27" t="s">
        <v>76</v>
      </c>
      <c r="G39" s="27" t="s">
        <v>77</v>
      </c>
      <c r="H39" s="27" t="s">
        <v>75</v>
      </c>
      <c r="I39" s="27" t="s">
        <v>76</v>
      </c>
      <c r="J39" t="str" cm="1">
        <f t="array" ref="J39:K39">_xlfn.UNIQUE(D39:I39,1,1)</f>
        <v>shubham</v>
      </c>
      <c r="K39" t="str">
        <v>rohit</v>
      </c>
    </row>
    <row r="41" spans="1:11">
      <c r="F41" s="25"/>
      <c r="G41" s="25"/>
    </row>
    <row r="42" spans="1:11">
      <c r="E42" s="26"/>
      <c r="F42" s="25"/>
      <c r="G42" s="25"/>
    </row>
    <row r="43" spans="1:11">
      <c r="E43" s="13"/>
      <c r="F43" s="13"/>
      <c r="G43" s="13"/>
    </row>
    <row r="44" spans="1:11">
      <c r="E44" s="13"/>
      <c r="F44" s="13"/>
      <c r="G44" s="13"/>
    </row>
  </sheetData>
  <mergeCells count="67">
    <mergeCell ref="B30:C38"/>
    <mergeCell ref="A30:A38"/>
    <mergeCell ref="B39:C39"/>
    <mergeCell ref="F33:G33"/>
    <mergeCell ref="F29:G29"/>
    <mergeCell ref="F26:G26"/>
    <mergeCell ref="F27:G27"/>
    <mergeCell ref="F18:G18"/>
    <mergeCell ref="F19:G19"/>
    <mergeCell ref="F20:G20"/>
    <mergeCell ref="F21:G21"/>
    <mergeCell ref="F22:G22"/>
    <mergeCell ref="F28:G28"/>
    <mergeCell ref="F17:G17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23:G23"/>
    <mergeCell ref="F24:G24"/>
    <mergeCell ref="F25:G25"/>
    <mergeCell ref="B24:C26"/>
    <mergeCell ref="A24:A26"/>
    <mergeCell ref="D24:E24"/>
    <mergeCell ref="D25:E25"/>
    <mergeCell ref="B28:C29"/>
    <mergeCell ref="A28:A29"/>
    <mergeCell ref="B27:C27"/>
    <mergeCell ref="B23:C23"/>
    <mergeCell ref="A13:A16"/>
    <mergeCell ref="B17:C18"/>
    <mergeCell ref="A17:A18"/>
    <mergeCell ref="A20:A21"/>
    <mergeCell ref="B20:C21"/>
    <mergeCell ref="D6:E6"/>
    <mergeCell ref="D7:E7"/>
    <mergeCell ref="D8:E8"/>
    <mergeCell ref="D9:E9"/>
    <mergeCell ref="D22:E22"/>
    <mergeCell ref="D11:E11"/>
    <mergeCell ref="D12:E12"/>
    <mergeCell ref="D19:E19"/>
    <mergeCell ref="D10:E10"/>
    <mergeCell ref="B12:C12"/>
    <mergeCell ref="B19:C19"/>
    <mergeCell ref="B22:C22"/>
    <mergeCell ref="B13:C16"/>
    <mergeCell ref="B11:C11"/>
    <mergeCell ref="B6:C6"/>
    <mergeCell ref="B7:C7"/>
    <mergeCell ref="B8:C8"/>
    <mergeCell ref="B9:C9"/>
    <mergeCell ref="B10:C10"/>
    <mergeCell ref="B5:C5"/>
    <mergeCell ref="D2:E2"/>
    <mergeCell ref="B2:C2"/>
    <mergeCell ref="F2:G2"/>
    <mergeCell ref="B3:C3"/>
    <mergeCell ref="B4:C4"/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Text_Manipulation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shubham waghmare</cp:lastModifiedBy>
  <dcterms:created xsi:type="dcterms:W3CDTF">2015-06-05T18:17:20Z</dcterms:created>
  <dcterms:modified xsi:type="dcterms:W3CDTF">2026-04-20T05:32:40Z</dcterms:modified>
</cp:coreProperties>
</file>