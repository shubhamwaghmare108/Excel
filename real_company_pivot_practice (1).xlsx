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p\Desktop\Taywade College\Excel\"/>
    </mc:Choice>
  </mc:AlternateContent>
  <xr:revisionPtr revIDLastSave="0" documentId="13_ncr:1_{2F22A972-816C-4788-907E-84B356D8A8FB}" xr6:coauthVersionLast="47" xr6:coauthVersionMax="47" xr10:uidLastSave="{00000000-0000-0000-0000-000000000000}"/>
  <bookViews>
    <workbookView xWindow="-108" yWindow="-108" windowWidth="23256" windowHeight="12576" activeTab="3" xr2:uid="{00000000-000D-0000-FFFF-FFFF00000000}"/>
  </bookViews>
  <sheets>
    <sheet name="Sheet2" sheetId="5" r:id="rId1"/>
    <sheet name="Sheet1" sheetId="4" r:id="rId2"/>
    <sheet name="Sheet3" sheetId="6" r:id="rId3"/>
    <sheet name="Sheet4" sheetId="7" r:id="rId4"/>
    <sheet name="Sales_Data" sheetId="1" r:id="rId5"/>
    <sheet name="Pivot_Practice" sheetId="2" r:id="rId6"/>
    <sheet name="Summary" sheetId="3" r:id="rId7"/>
  </sheets>
  <definedNames>
    <definedName name="NativeTimeline_Order_Date">#N/A</definedName>
    <definedName name="Slicer_Salesperson">#N/A</definedName>
    <definedName name="Slicer_State">#N/A</definedName>
  </definedNames>
  <calcPr calcId="191029"/>
  <pivotCaches>
    <pivotCache cacheId="27"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8" i="3" l="1"/>
  <c r="B7" i="3"/>
  <c r="B6" i="3"/>
  <c r="B5" i="3"/>
  <c r="B4" i="3"/>
</calcChain>
</file>

<file path=xl/sharedStrings.xml><?xml version="1.0" encoding="utf-8"?>
<sst xmlns="http://schemas.openxmlformats.org/spreadsheetml/2006/main" count="2396" uniqueCount="367">
  <si>
    <t>Order_ID</t>
  </si>
  <si>
    <t>Order_Date</t>
  </si>
  <si>
    <t>Month</t>
  </si>
  <si>
    <t>Region</t>
  </si>
  <si>
    <t>State</t>
  </si>
  <si>
    <t>City</t>
  </si>
  <si>
    <t>Salesperson</t>
  </si>
  <si>
    <t>Customer_Segment</t>
  </si>
  <si>
    <t>Product_Category</t>
  </si>
  <si>
    <t>Product</t>
  </si>
  <si>
    <t>Units</t>
  </si>
  <si>
    <t>Unit_Price</t>
  </si>
  <si>
    <t>Sales_Amount</t>
  </si>
  <si>
    <t>Cost_Amount</t>
  </si>
  <si>
    <t>Profit_Amount</t>
  </si>
  <si>
    <t>ORD0001</t>
  </si>
  <si>
    <t>Jun-2025</t>
  </si>
  <si>
    <t>North</t>
  </si>
  <si>
    <t>Punjab</t>
  </si>
  <si>
    <t>Ludhiana</t>
  </si>
  <si>
    <t>Amit</t>
  </si>
  <si>
    <t>Corporate</t>
  </si>
  <si>
    <t>Accessories</t>
  </si>
  <si>
    <t>Keyboard</t>
  </si>
  <si>
    <t>ORD0002</t>
  </si>
  <si>
    <t>Apr-2025</t>
  </si>
  <si>
    <t>West</t>
  </si>
  <si>
    <t>Maharashtra</t>
  </si>
  <si>
    <t>Mumbai</t>
  </si>
  <si>
    <t>Vikas</t>
  </si>
  <si>
    <t>Retail</t>
  </si>
  <si>
    <t>Electronics</t>
  </si>
  <si>
    <t>Laptop</t>
  </si>
  <si>
    <t>ORD0003</t>
  </si>
  <si>
    <t>Oct-2025</t>
  </si>
  <si>
    <t>Distributor</t>
  </si>
  <si>
    <t>Mouse</t>
  </si>
  <si>
    <t>ORD0004</t>
  </si>
  <si>
    <t>Mar-2025</t>
  </si>
  <si>
    <t>South</t>
  </si>
  <si>
    <t>Tamil Nadu</t>
  </si>
  <si>
    <t>Chennai</t>
  </si>
  <si>
    <t>Rahul</t>
  </si>
  <si>
    <t>Monitor</t>
  </si>
  <si>
    <t>ORD0005</t>
  </si>
  <si>
    <t>Feb-2025</t>
  </si>
  <si>
    <t>Neha</t>
  </si>
  <si>
    <t>ORD0006</t>
  </si>
  <si>
    <t>Dec-2025</t>
  </si>
  <si>
    <t>East</t>
  </si>
  <si>
    <t>Odisha</t>
  </si>
  <si>
    <t>Bhubaneswar</t>
  </si>
  <si>
    <t>Pooja</t>
  </si>
  <si>
    <t>Furniture</t>
  </si>
  <si>
    <t>Desk</t>
  </si>
  <si>
    <t>ORD0007</t>
  </si>
  <si>
    <t>May-2025</t>
  </si>
  <si>
    <t>Gujarat</t>
  </si>
  <si>
    <t>Ahmedabad</t>
  </si>
  <si>
    <t>Karan</t>
  </si>
  <si>
    <t>ORD0008</t>
  </si>
  <si>
    <t>Office Chair</t>
  </si>
  <si>
    <t>ORD0009</t>
  </si>
  <si>
    <t>Sneha</t>
  </si>
  <si>
    <t>Storage Rack</t>
  </si>
  <si>
    <t>ORD0010</t>
  </si>
  <si>
    <t>Bihar</t>
  </si>
  <si>
    <t>Patna</t>
  </si>
  <si>
    <t>Headset</t>
  </si>
  <si>
    <t>ORD0011</t>
  </si>
  <si>
    <t>Aug-2025</t>
  </si>
  <si>
    <t>Telangana</t>
  </si>
  <si>
    <t>Hyderabad</t>
  </si>
  <si>
    <t>ORD0012</t>
  </si>
  <si>
    <t>Sep-2025</t>
  </si>
  <si>
    <t>ORD0013</t>
  </si>
  <si>
    <t>ORD0014</t>
  </si>
  <si>
    <t>ORD0015</t>
  </si>
  <si>
    <t>Jan-2025</t>
  </si>
  <si>
    <t>ORD0016</t>
  </si>
  <si>
    <t>Karnataka</t>
  </si>
  <si>
    <t>Bengaluru</t>
  </si>
  <si>
    <t>ORD0017</t>
  </si>
  <si>
    <t>West Bengal</t>
  </si>
  <si>
    <t>Kolkata</t>
  </si>
  <si>
    <t>Priya</t>
  </si>
  <si>
    <t>Tablet</t>
  </si>
  <si>
    <t>ORD0018</t>
  </si>
  <si>
    <t>ORD0019</t>
  </si>
  <si>
    <t>Nov-2025</t>
  </si>
  <si>
    <t>ORD0020</t>
  </si>
  <si>
    <t>ORD0021</t>
  </si>
  <si>
    <t>Uttar Pradesh</t>
  </si>
  <si>
    <t>Lucknow</t>
  </si>
  <si>
    <t>ORD0022</t>
  </si>
  <si>
    <t>ORD0023</t>
  </si>
  <si>
    <t>ORD0024</t>
  </si>
  <si>
    <t>ORD0025</t>
  </si>
  <si>
    <t>ORD0026</t>
  </si>
  <si>
    <t>ORD0027</t>
  </si>
  <si>
    <t>Jul-2025</t>
  </si>
  <si>
    <t>ORD0028</t>
  </si>
  <si>
    <t>ORD0029</t>
  </si>
  <si>
    <t>ORD0030</t>
  </si>
  <si>
    <t>ORD0031</t>
  </si>
  <si>
    <t>ORD0032</t>
  </si>
  <si>
    <t>ORD0033</t>
  </si>
  <si>
    <t>ORD0034</t>
  </si>
  <si>
    <t>ORD0035</t>
  </si>
  <si>
    <t>ORD0036</t>
  </si>
  <si>
    <t>ORD0037</t>
  </si>
  <si>
    <t>ORD0038</t>
  </si>
  <si>
    <t>ORD0039</t>
  </si>
  <si>
    <t>ORD0040</t>
  </si>
  <si>
    <t>ORD0041</t>
  </si>
  <si>
    <t>ORD0042</t>
  </si>
  <si>
    <t>Delhi</t>
  </si>
  <si>
    <t>New Delhi</t>
  </si>
  <si>
    <t>ORD0043</t>
  </si>
  <si>
    <t>ORD0044</t>
  </si>
  <si>
    <t>ORD0045</t>
  </si>
  <si>
    <t>Pune</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</si>
  <si>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</si>
  <si>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</si>
  <si>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</si>
  <si>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</si>
  <si>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</si>
  <si>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</si>
  <si>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</si>
  <si>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</si>
  <si>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</si>
  <si>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</si>
  <si>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</si>
  <si>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</si>
  <si>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</si>
  <si>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</si>
  <si>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</si>
  <si>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</si>
  <si>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</si>
  <si>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</si>
  <si>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</si>
  <si>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</si>
  <si>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</si>
  <si>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</si>
  <si>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</si>
  <si>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</si>
  <si>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</si>
  <si>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</si>
  <si>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</si>
  <si>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</si>
  <si>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</si>
  <si>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</si>
  <si>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</si>
  <si>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</si>
  <si>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</si>
  <si>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</si>
  <si>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</si>
  <si>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</si>
  <si>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</si>
  <si>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</si>
  <si>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</si>
  <si>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</si>
  <si>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</si>
  <si>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</si>
  <si>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</si>
  <si>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</si>
  <si>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</si>
  <si>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</si>
  <si>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</si>
  <si>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</si>
  <si>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</si>
  <si>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</si>
  <si>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</si>
  <si>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</si>
  <si>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</si>
  <si>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</si>
  <si>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</si>
  <si>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</si>
  <si>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</si>
  <si>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</si>
  <si>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</si>
  <si>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</si>
  <si>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</si>
  <si>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</si>
  <si>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</si>
  <si>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</si>
  <si>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</si>
  <si>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</si>
  <si>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</si>
  <si>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</si>
  <si>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</si>
  <si>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</si>
  <si>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</si>
  <si>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</si>
  <si>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</si>
  <si>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</si>
  <si>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</si>
  <si>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</si>
  <si>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</si>
  <si>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</si>
  <si>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</si>
  <si>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</si>
  <si>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</si>
  <si>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</si>
  <si>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</si>
  <si>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</si>
  <si>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</si>
  <si>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</si>
  <si>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</si>
  <si>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</si>
  <si>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</si>
  <si>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</si>
  <si>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</si>
  <si>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</si>
  <si>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</si>
  <si>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</si>
  <si>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</si>
  <si>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</si>
  <si>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</si>
  <si>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</si>
  <si>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</si>
  <si>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</si>
  <si>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</si>
  <si>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</si>
  <si>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</si>
  <si>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</si>
  <si>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</si>
  <si>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</si>
  <si>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</si>
  <si>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</si>
  <si>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</si>
  <si>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</si>
  <si>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</si>
  <si>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</si>
  <si>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</si>
  <si>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</si>
  <si>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</si>
  <si>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</si>
  <si>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</si>
  <si>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</si>
  <si>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</si>
  <si>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</si>
  <si>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</si>
  <si>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</si>
  <si>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</si>
  <si>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</si>
  <si>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</si>
  <si>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</si>
  <si>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</si>
  <si>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</si>
  <si>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</si>
  <si>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</si>
  <si>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</si>
  <si>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</si>
  <si>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</si>
  <si>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</si>
  <si>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</si>
  <si>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</si>
  <si>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</si>
  <si>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</si>
  <si>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</si>
  <si>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</si>
  <si>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</si>
  <si>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</si>
  <si>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</si>
  <si>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</si>
  <si>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</si>
  <si>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</si>
  <si>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</si>
  <si>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</si>
  <si>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</si>
  <si>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</si>
  <si>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</si>
  <si>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</si>
  <si>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</si>
  <si>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</si>
  <si>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</si>
  <si>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</si>
  <si>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</si>
  <si>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</si>
  <si>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</si>
  <si>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</si>
  <si>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</si>
  <si>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</si>
  <si>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</si>
  <si>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</si>
  <si>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</si>
  <si>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</si>
  <si>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</si>
  <si>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</si>
  <si>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</si>
  <si>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</si>
  <si>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</si>
  <si>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</si>
  <si>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</si>
  <si>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</si>
  <si>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</si>
  <si>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</si>
  <si>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</si>
  <si>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</si>
  <si>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</si>
  <si>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</si>
  <si>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</si>
  <si>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</si>
  <si>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</si>
  <si>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</si>
  <si>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</si>
  <si>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</si>
  <si>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</si>
  <si>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</si>
  <si>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</si>
  <si>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</si>
  <si>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</si>
  <si>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</si>
  <si>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</si>
  <si>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</si>
  <si>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</si>
  <si>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Pivot Table &amp; Pivot Chart Practice – Real Company Dataset</t>
  </si>
  <si>
    <t>Task</t>
  </si>
  <si>
    <t>What to Build</t>
  </si>
  <si>
    <t>Rows</t>
  </si>
  <si>
    <t>Columns</t>
  </si>
  <si>
    <t>Values</t>
  </si>
  <si>
    <t>Recommended Chart</t>
  </si>
  <si>
    <t>Region-wise Sales Summary</t>
  </si>
  <si>
    <t>Sum of Sales_Amount</t>
  </si>
  <si>
    <t>Clustered Column</t>
  </si>
  <si>
    <t>Monthly Sales Trend</t>
  </si>
  <si>
    <t>Line</t>
  </si>
  <si>
    <t>Category-wise Profit</t>
  </si>
  <si>
    <t>Sum of Profit_Amount</t>
  </si>
  <si>
    <t>Bar</t>
  </si>
  <si>
    <t>Region and Category Sales</t>
  </si>
  <si>
    <t>Stacked Column</t>
  </si>
  <si>
    <t>Salesperson Performance</t>
  </si>
  <si>
    <t>Sum of Sales_Amount, Sum of Profit_Amount</t>
  </si>
  <si>
    <t>Combo/Column</t>
  </si>
  <si>
    <t>Segment-wise Units Sold</t>
  </si>
  <si>
    <t>Sum of Units</t>
  </si>
  <si>
    <t>Pie/Donut</t>
  </si>
  <si>
    <t>How to use:</t>
  </si>
  <si>
    <t>1. Select any cell in Sales_Data.</t>
  </si>
  <si>
    <t>2. Go to Insert &gt; PivotTable.</t>
  </si>
  <si>
    <t>3. Use fields listed above to build each report.</t>
  </si>
  <si>
    <t>4. Then go to PivotTable Analyze &gt; PivotChart.</t>
  </si>
  <si>
    <t>Ready-made summary formulas for practice</t>
  </si>
  <si>
    <t>Metric</t>
  </si>
  <si>
    <t>Value</t>
  </si>
  <si>
    <t>Total Orders</t>
  </si>
  <si>
    <t>Total Sales</t>
  </si>
  <si>
    <t>Total Cost</t>
  </si>
  <si>
    <t>Total Profit</t>
  </si>
  <si>
    <t>Avg Order Value</t>
  </si>
  <si>
    <t>Row Labels</t>
  </si>
  <si>
    <t>Grand Total</t>
  </si>
  <si>
    <t>Jan</t>
  </si>
  <si>
    <t>Feb</t>
  </si>
  <si>
    <t>Mar</t>
  </si>
  <si>
    <t>Apr</t>
  </si>
  <si>
    <t>May</t>
  </si>
  <si>
    <t>Jun</t>
  </si>
  <si>
    <t>Jul</t>
  </si>
  <si>
    <t>Aug</t>
  </si>
  <si>
    <t>Sep</t>
  </si>
  <si>
    <t>Nov</t>
  </si>
  <si>
    <t>Dec</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</si>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</sst>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m\-yyyy"/>
    <numFmt numFmtId="166" formatCode="\₹#,##0.00"/>
  </numFmts>
  <fonts count="5" x14ac:knownFonts="1">
    <font>
      <sz val="11"/>
      <color theme="1"/>
      <name val="Calibri"/>
      <family val="2"/>
      <scheme val="minor"/>
    </font>
    <font>
      <b/>
      <sz val="11"/>
      <color rgb="FFFFFFFF"/>
      <name val="Calibri"/>
      <family val="2"/>
    </font>
    <font>
      <b/>
      <sz val="14"/>
      <color rgb="FFFFFFFF"/>
      <name val="Calibri"/>
      <family val="2"/>
    </font>
    <font>
      <b/>
      <sz val="11"/>
      <name val="Calibri"/>
      <family val="2"/>
    </font>
    <font>
      <b/>
      <sz val="13"/>
      <color rgb="FFFFFFFF"/>
      <name val="Calibri"/>
      <family val="2"/>
    </font>
  </fonts>
  <fills count="8">
    <fill>
      <patternFill patternType="none"/>
    </fill>
    <fill>
      <patternFill patternType="gray125"/>
    </fill>
    <fill>
      <patternFill patternType="solid">
        <fgColor rgb="FF1F4E78"/>
      </patternFill>
    </fill>
    <fill>
      <patternFill patternType="solid">
        <fgColor rgb="FF2F75B5"/>
      </patternFill>
    </fill>
    <fill>
      <patternFill patternType="solid">
        <fgColor rgb="FF5B9BD5"/>
      </patternFill>
    </fill>
    <fill>
      <patternFill patternType="solid">
        <fgColor rgb="FF70AD47"/>
      </patternFill>
    </fill>
    <fill>
      <patternFill patternType="solid">
        <fgColor theme="4" tint="0.79998168889431442"/>
        <bgColor theme="4" tint="0.79998168889431442"/>
      </patternFill>
    </fill>
    <fill>
      <patternFill patternType="solid">
        <fgColor theme="5" tint="0.59999389629810485"/>
        <bgColor indexed="64"/>
      </patternFill>
    </fill>
  </fills>
  <borders count="1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xf numFmtId="1" fontId="0" fillId="0" borderId="0" xfId="0" applyNumberFormat="1"/>
    <xf numFmtId="166" fontId="0" fillId="0" borderId="0" xfId="0" applyNumberFormat="1"/>
    <xf numFmtId="0" fontId="1" fillId="4" borderId="0" xfId="0" applyFont="1" applyFill="1"/>
    <xf numFmtId="0" fontId="0" fillId="0" borderId="0" xfId="0" applyAlignment="1">
      <alignment vertical="top" wrapText="1"/>
    </xf>
    <xf numFmtId="0" fontId="3" fillId="0" borderId="0" xfId="0" applyFont="1"/>
    <xf numFmtId="0" fontId="2" fillId="3" borderId="0" xfId="0" applyFont="1" applyFill="1"/>
    <xf numFmtId="0" fontId="0" fillId="0" borderId="0" xfId="0"/>
    <xf numFmtId="0" fontId="4" fillId="5" borderId="0" xfId="0" applyFont="1" applyFill="1"/>
    <xf numFmtId="0" fontId="0" fillId="0" borderId="1" xfId="0" applyFont="1" applyBorder="1"/>
    <xf numFmtId="0" fontId="0" fillId="0" borderId="2" xfId="0" applyFont="1" applyBorder="1"/>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6" borderId="4" xfId="0" applyFont="1" applyFill="1" applyBorder="1"/>
    <xf numFmtId="165" fontId="0" fillId="6" borderId="5" xfId="0" applyNumberFormat="1" applyFont="1" applyFill="1" applyBorder="1"/>
    <xf numFmtId="0" fontId="0" fillId="6" borderId="5" xfId="0" applyFont="1" applyFill="1" applyBorder="1"/>
    <xf numFmtId="1" fontId="0" fillId="6" borderId="5" xfId="0" applyNumberFormat="1" applyFont="1" applyFill="1" applyBorder="1"/>
    <xf numFmtId="166" fontId="0" fillId="6" borderId="5" xfId="0" applyNumberFormat="1" applyFont="1" applyFill="1" applyBorder="1"/>
    <xf numFmtId="166" fontId="0" fillId="6" borderId="6" xfId="0" applyNumberFormat="1" applyFont="1" applyFill="1" applyBorder="1"/>
    <xf numFmtId="0" fontId="0" fillId="0" borderId="4" xfId="0" applyFont="1" applyBorder="1"/>
    <xf numFmtId="165" fontId="0" fillId="0" borderId="5" xfId="0" applyNumberFormat="1" applyFont="1" applyBorder="1"/>
    <xf numFmtId="0" fontId="0" fillId="0" borderId="5" xfId="0" applyFont="1" applyBorder="1"/>
    <xf numFmtId="1" fontId="0" fillId="0" borderId="5" xfId="0" applyNumberFormat="1" applyFont="1" applyBorder="1"/>
    <xf numFmtId="166" fontId="0" fillId="0" borderId="5" xfId="0" applyNumberFormat="1" applyFont="1" applyBorder="1"/>
    <xf numFmtId="166" fontId="0" fillId="0" borderId="6" xfId="0" applyNumberFormat="1" applyFont="1" applyBorder="1"/>
    <xf numFmtId="165" fontId="0" fillId="0" borderId="2" xfId="0" applyNumberFormat="1" applyFont="1" applyBorder="1"/>
    <xf numFmtId="1" fontId="0" fillId="0" borderId="2" xfId="0" applyNumberFormat="1" applyFont="1" applyBorder="1"/>
    <xf numFmtId="166" fontId="0" fillId="0" borderId="2" xfId="0" applyNumberFormat="1" applyFont="1" applyBorder="1"/>
    <xf numFmtId="166" fontId="0" fillId="0" borderId="3" xfId="0" applyNumberFormat="1" applyFont="1" applyBorder="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0" fontId="0" fillId="7" borderId="7" xfId="0" applyFill="1" applyBorder="1"/>
    <xf numFmtId="0" fontId="0" fillId="7" borderId="8" xfId="0" applyFill="1" applyBorder="1"/>
    <xf numFmtId="0" fontId="0" fillId="7" borderId="9" xfId="0" applyFill="1" applyBorder="1"/>
    <xf numFmtId="0" fontId="0" fillId="7" borderId="0" xfId="0" applyFill="1"/>
    <xf numFmtId="0" fontId="0" fillId="7" borderId="10" xfId="0" applyFill="1" applyBorder="1"/>
    <xf numFmtId="0" fontId="0" fillId="7" borderId="0" xfId="0" applyFill="1" applyBorder="1"/>
    <xf numFmtId="0" fontId="0" fillId="7" borderId="11" xfId="0" applyFill="1" applyBorder="1"/>
    <xf numFmtId="0" fontId="0" fillId="7" borderId="12" xfId="0" applyFill="1" applyBorder="1"/>
    <xf numFmtId="0" fontId="0" fillId="7" borderId="13" xfId="0" applyFill="1" applyBorder="1"/>
    <xf numFmtId="0" fontId="0" fillId="7" borderId="14" xfId="0" applyFill="1" applyBorder="1"/>
  </cellXfs>
  <cellStyles count="1">
    <cellStyle name="Normal" xfId="0" builtinId="0"/>
  </cellStyles>
  <dxfs count="1">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[real_company_pivot_practice (1).xlsx]Sheet1!PivotTable8</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Month</a:t>
            </a:r>
            <a:r>
              <a:rPr lang="en-US" baseline="0"/>
              <a:t> wise sales Trend</a:t>
            </a:r>
            <a:endParaRPr lang="en-US"/>
          </a:p>
        </c:rich>
      </c:tx>
      <c:overlay val="0"/>
      <c:spPr>
        <a:solidFill>
          <a:srgbClr val="C00000"/>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5.3819553805774377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4.06248906386702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8.993066491688549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6819553805774279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288195538057742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6.848622047244099E-2"/>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4904177602799656"/>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1263998250218716E-2"/>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434862204724409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6015288713910761"/>
              <c:y val="-7.8703703703703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2.6736001749781278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4041776027996498E-2"/>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s>
            <c:dLbl>
              <c:idx val="0"/>
              <c:layout>
                <c:manualLayout>
                  <c:x val="-7.4041776027996498E-2"/>
                  <c:y val="-9.25925925925926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3DE-4258-9107-201EBDE979B3}"/>
                </c:ext>
              </c:extLst>
            </c:dLbl>
            <c:dLbl>
              <c:idx val="1"/>
              <c:layout>
                <c:manualLayout>
                  <c:x val="2.6736001749781278E-2"/>
                  <c:y val="5.55555555555556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3DE-4258-9107-201EBDE979B3}"/>
                </c:ext>
              </c:extLst>
            </c:dLbl>
            <c:dLbl>
              <c:idx val="2"/>
              <c:layout>
                <c:manualLayout>
                  <c:x val="-0.16015288713910761"/>
                  <c:y val="-7.87037037037036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3DE-4258-9107-201EBDE979B3}"/>
                </c:ext>
              </c:extLst>
            </c:dLbl>
            <c:dLbl>
              <c:idx val="3"/>
              <c:layout>
                <c:manualLayout>
                  <c:x val="-0.14348622047244092"/>
                  <c:y val="-6.48148148148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3DE-4258-9107-201EBDE979B3}"/>
                </c:ext>
              </c:extLst>
            </c:dLbl>
            <c:dLbl>
              <c:idx val="4"/>
              <c:layout>
                <c:manualLayout>
                  <c:x val="-0.14904177602799656"/>
                  <c:y val="6.0185185185185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3DE-4258-9107-201EBDE979B3}"/>
                </c:ext>
              </c:extLst>
            </c:dLbl>
            <c:dLbl>
              <c:idx val="5"/>
              <c:layout>
                <c:manualLayout>
                  <c:x val="-7.1263998250218716E-2"/>
                  <c:y val="-0.2546296296296296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3DE-4258-9107-201EBDE979B3}"/>
                </c:ext>
              </c:extLst>
            </c:dLbl>
            <c:dLbl>
              <c:idx val="6"/>
              <c:layout>
                <c:manualLayout>
                  <c:x val="-6.848622047244099E-2"/>
                  <c:y val="0.1018518518518517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3DE-4258-9107-201EBDE979B3}"/>
                </c:ext>
              </c:extLst>
            </c:dLbl>
            <c:dLbl>
              <c:idx val="7"/>
              <c:layout>
                <c:manualLayout>
                  <c:x val="-0.12881955380577428"/>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3DE-4258-9107-201EBDE979B3}"/>
                </c:ext>
              </c:extLst>
            </c:dLbl>
            <c:dLbl>
              <c:idx val="8"/>
              <c:layout>
                <c:manualLayout>
                  <c:x val="-7.6819553805774279E-2"/>
                  <c:y val="-0.1296296296296296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DE-4258-9107-201EBDE979B3}"/>
                </c:ext>
              </c:extLst>
            </c:dLbl>
            <c:dLbl>
              <c:idx val="9"/>
              <c:layout>
                <c:manualLayout>
                  <c:x val="-8.9930664916885492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DE-4258-9107-201EBDE979B3}"/>
                </c:ext>
              </c:extLst>
            </c:dLbl>
            <c:dLbl>
              <c:idx val="10"/>
              <c:layout>
                <c:manualLayout>
                  <c:x val="4.0624890638670266E-2"/>
                  <c:y val="-8.487556272013328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DE-4258-9107-201EBDE979B3}"/>
                </c:ext>
              </c:extLst>
            </c:dLbl>
            <c:dLbl>
              <c:idx val="11"/>
              <c:layout>
                <c:manualLayout>
                  <c:x val="-5.3819553805774377E-2"/>
                  <c:y val="-8.7962962962962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DE-4258-9107-201EBDE979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noFill/>
              </a:ln>
              <a:effectLst/>
            </c:spPr>
            <c:trendlineType val="linear"/>
            <c:dispRSqr val="0"/>
            <c:dispEq val="0"/>
          </c:trendline>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525943.9</c:v>
                </c:pt>
                <c:pt idx="1">
                  <c:v>30193.34</c:v>
                </c:pt>
                <c:pt idx="2">
                  <c:v>62538</c:v>
                </c:pt>
                <c:pt idx="3">
                  <c:v>346877.58999999997</c:v>
                </c:pt>
                <c:pt idx="4">
                  <c:v>444370.02999999997</c:v>
                </c:pt>
                <c:pt idx="5">
                  <c:v>103392.56</c:v>
                </c:pt>
                <c:pt idx="6">
                  <c:v>145724.64000000001</c:v>
                </c:pt>
                <c:pt idx="7">
                  <c:v>117616.97999999998</c:v>
                </c:pt>
                <c:pt idx="8">
                  <c:v>62308.1</c:v>
                </c:pt>
                <c:pt idx="9">
                  <c:v>223074.3</c:v>
                </c:pt>
                <c:pt idx="10">
                  <c:v>21784.2</c:v>
                </c:pt>
                <c:pt idx="11">
                  <c:v>13824.69</c:v>
                </c:pt>
              </c:numCache>
            </c:numRef>
          </c:val>
          <c:smooth val="0"/>
          <c:extLst>
            <c:ext xmlns:c16="http://schemas.microsoft.com/office/drawing/2014/chart" uri="{C3380CC4-5D6E-409C-BE32-E72D297353CC}">
              <c16:uniqueId val="{00000000-73DE-4258-9107-201EBDE979B3}"/>
            </c:ext>
          </c:extLst>
        </c:ser>
        <c:dLbls>
          <c:dLblPos val="ctr"/>
          <c:showLegendKey val="0"/>
          <c:showVal val="1"/>
          <c:showCatName val="0"/>
          <c:showSerName val="0"/>
          <c:showPercent val="0"/>
          <c:showBubbleSize val="0"/>
        </c:dLbls>
        <c:marker val="1"/>
        <c:smooth val="0"/>
        <c:axId val="1176347408"/>
        <c:axId val="1176333488"/>
      </c:lineChart>
      <c:catAx>
        <c:axId val="117634740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333488"/>
        <c:crosses val="autoZero"/>
        <c:auto val="1"/>
        <c:lblAlgn val="ctr"/>
        <c:lblOffset val="100"/>
        <c:noMultiLvlLbl val="0"/>
      </c:catAx>
      <c:valAx>
        <c:axId val="1176333488"/>
        <c:scaling>
          <c:orientation val="minMax"/>
        </c:scaling>
        <c:delete val="1"/>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crossAx val="117634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[real_company_pivot_practice (1).xlsx]Sheet3!PivotTable9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rgbClr val="FF0000"/>
                </a:solidFill>
              </a:rPr>
              <a:t>Category Wise Profit</a:t>
            </a:r>
          </a:p>
        </c:rich>
      </c:tx>
      <c:layout>
        <c:manualLayout>
          <c:xMode val="edge"/>
          <c:yMode val="edge"/>
          <c:x val="0.36203999412660826"/>
          <c:y val="7.58444470698885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905442987683751E-2"/>
          <c:y val="0.13762732438674644"/>
          <c:w val="0.95629717918156532"/>
          <c:h val="0.78300287486129549"/>
        </c:manualLayout>
      </c:layout>
      <c:barChart>
        <c:barDir val="col"/>
        <c:grouping val="clustered"/>
        <c:varyColors val="0"/>
        <c:ser>
          <c:idx val="0"/>
          <c:order val="0"/>
          <c:tx>
            <c:strRef>
              <c:f>Sheet3!$B$3:$B$4</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East</c:v>
                </c:pt>
                <c:pt idx="1">
                  <c:v>North</c:v>
                </c:pt>
                <c:pt idx="2">
                  <c:v>South</c:v>
                </c:pt>
                <c:pt idx="3">
                  <c:v>West</c:v>
                </c:pt>
              </c:strCache>
            </c:strRef>
          </c:cat>
          <c:val>
            <c:numRef>
              <c:f>Sheet3!$B$5:$B$9</c:f>
              <c:numCache>
                <c:formatCode>General</c:formatCode>
                <c:ptCount val="4"/>
                <c:pt idx="0">
                  <c:v>56027.45</c:v>
                </c:pt>
                <c:pt idx="1">
                  <c:v>101939.64999999998</c:v>
                </c:pt>
                <c:pt idx="2">
                  <c:v>84804.36</c:v>
                </c:pt>
                <c:pt idx="3">
                  <c:v>55665.950000000004</c:v>
                </c:pt>
              </c:numCache>
            </c:numRef>
          </c:val>
          <c:extLst>
            <c:ext xmlns:c16="http://schemas.microsoft.com/office/drawing/2014/chart" uri="{C3380CC4-5D6E-409C-BE32-E72D297353CC}">
              <c16:uniqueId val="{00000000-0894-4036-87FD-4759B541B895}"/>
            </c:ext>
          </c:extLst>
        </c:ser>
        <c:ser>
          <c:idx val="1"/>
          <c:order val="1"/>
          <c:tx>
            <c:strRef>
              <c:f>Sheet3!$C$3:$C$4</c:f>
              <c:strCache>
                <c:ptCount val="1"/>
                <c:pt idx="0">
                  <c:v>Electronics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East</c:v>
                </c:pt>
                <c:pt idx="1">
                  <c:v>North</c:v>
                </c:pt>
                <c:pt idx="2">
                  <c:v>South</c:v>
                </c:pt>
                <c:pt idx="3">
                  <c:v>West</c:v>
                </c:pt>
              </c:strCache>
            </c:strRef>
          </c:cat>
          <c:val>
            <c:numRef>
              <c:f>Sheet3!$C$5:$C$9</c:f>
              <c:numCache>
                <c:formatCode>General</c:formatCode>
                <c:ptCount val="4"/>
                <c:pt idx="0">
                  <c:v>1192987.5799999998</c:v>
                </c:pt>
                <c:pt idx="1">
                  <c:v>697264.8</c:v>
                </c:pt>
                <c:pt idx="2">
                  <c:v>1101563.6099999999</c:v>
                </c:pt>
                <c:pt idx="3">
                  <c:v>1040907.16</c:v>
                </c:pt>
              </c:numCache>
            </c:numRef>
          </c:val>
          <c:extLst>
            <c:ext xmlns:c16="http://schemas.microsoft.com/office/drawing/2014/chart" uri="{C3380CC4-5D6E-409C-BE32-E72D297353CC}">
              <c16:uniqueId val="{00000006-0894-4036-87FD-4759B541B895}"/>
            </c:ext>
          </c:extLst>
        </c:ser>
        <c:ser>
          <c:idx val="2"/>
          <c:order val="2"/>
          <c:tx>
            <c:strRef>
              <c:f>Sheet3!$D$3:$D$4</c:f>
              <c:strCache>
                <c:ptCount val="1"/>
                <c:pt idx="0">
                  <c:v>Furniture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East</c:v>
                </c:pt>
                <c:pt idx="1">
                  <c:v>North</c:v>
                </c:pt>
                <c:pt idx="2">
                  <c:v>South</c:v>
                </c:pt>
                <c:pt idx="3">
                  <c:v>West</c:v>
                </c:pt>
              </c:strCache>
            </c:strRef>
          </c:cat>
          <c:val>
            <c:numRef>
              <c:f>Sheet3!$D$5:$D$9</c:f>
              <c:numCache>
                <c:formatCode>General</c:formatCode>
                <c:ptCount val="4"/>
                <c:pt idx="0">
                  <c:v>296636.27</c:v>
                </c:pt>
                <c:pt idx="1">
                  <c:v>381962.78000000009</c:v>
                </c:pt>
                <c:pt idx="2">
                  <c:v>371490.26999999996</c:v>
                </c:pt>
                <c:pt idx="3">
                  <c:v>459002.34</c:v>
                </c:pt>
              </c:numCache>
            </c:numRef>
          </c:val>
          <c:extLst>
            <c:ext xmlns:c16="http://schemas.microsoft.com/office/drawing/2014/chart" uri="{C3380CC4-5D6E-409C-BE32-E72D297353CC}">
              <c16:uniqueId val="{00000007-0894-4036-87FD-4759B541B895}"/>
            </c:ext>
          </c:extLst>
        </c:ser>
        <c:dLbls>
          <c:showLegendKey val="0"/>
          <c:showVal val="0"/>
          <c:showCatName val="0"/>
          <c:showSerName val="0"/>
          <c:showPercent val="0"/>
          <c:showBubbleSize val="0"/>
        </c:dLbls>
        <c:gapWidth val="219"/>
        <c:overlap val="-27"/>
        <c:axId val="1279719296"/>
        <c:axId val="1279718336"/>
      </c:barChart>
      <c:catAx>
        <c:axId val="127971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718336"/>
        <c:crosses val="autoZero"/>
        <c:auto val="1"/>
        <c:lblAlgn val="ctr"/>
        <c:lblOffset val="100"/>
        <c:noMultiLvlLbl val="0"/>
      </c:catAx>
      <c:valAx>
        <c:axId val="1279718336"/>
        <c:scaling>
          <c:orientation val="minMax"/>
        </c:scaling>
        <c:delete val="1"/>
        <c:axPos val="l"/>
        <c:numFmt formatCode="General" sourceLinked="1"/>
        <c:majorTickMark val="none"/>
        <c:minorTickMark val="none"/>
        <c:tickLblPos val="nextTo"/>
        <c:crossAx val="127971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[real_company_pivot_practice (1).xlsx]Sheet3!PivotTable9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rgbClr val="FF0000"/>
                </a:solidFill>
              </a:rPr>
              <a:t>Category Wise Profit</a:t>
            </a:r>
          </a:p>
        </c:rich>
      </c:tx>
      <c:layout>
        <c:manualLayout>
          <c:xMode val="edge"/>
          <c:yMode val="edge"/>
          <c:x val="0.21811136268910591"/>
          <c:y val="3.4655845158392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905442987683751E-2"/>
          <c:y val="0.13762732438674644"/>
          <c:w val="0.95629717918156532"/>
          <c:h val="0.78300287486129549"/>
        </c:manualLayout>
      </c:layout>
      <c:barChart>
        <c:barDir val="col"/>
        <c:grouping val="clustered"/>
        <c:varyColors val="0"/>
        <c:ser>
          <c:idx val="0"/>
          <c:order val="0"/>
          <c:tx>
            <c:strRef>
              <c:f>Sheet3!$B$3:$B$4</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East</c:v>
                </c:pt>
                <c:pt idx="1">
                  <c:v>North</c:v>
                </c:pt>
                <c:pt idx="2">
                  <c:v>South</c:v>
                </c:pt>
                <c:pt idx="3">
                  <c:v>West</c:v>
                </c:pt>
              </c:strCache>
            </c:strRef>
          </c:cat>
          <c:val>
            <c:numRef>
              <c:f>Sheet3!$B$5:$B$9</c:f>
              <c:numCache>
                <c:formatCode>General</c:formatCode>
                <c:ptCount val="4"/>
                <c:pt idx="0">
                  <c:v>56027.45</c:v>
                </c:pt>
                <c:pt idx="1">
                  <c:v>101939.64999999998</c:v>
                </c:pt>
                <c:pt idx="2">
                  <c:v>84804.36</c:v>
                </c:pt>
                <c:pt idx="3">
                  <c:v>55665.950000000004</c:v>
                </c:pt>
              </c:numCache>
            </c:numRef>
          </c:val>
          <c:extLst>
            <c:ext xmlns:c16="http://schemas.microsoft.com/office/drawing/2014/chart" uri="{C3380CC4-5D6E-409C-BE32-E72D297353CC}">
              <c16:uniqueId val="{00000000-EA27-451B-AE75-A39362971504}"/>
            </c:ext>
          </c:extLst>
        </c:ser>
        <c:ser>
          <c:idx val="1"/>
          <c:order val="1"/>
          <c:tx>
            <c:strRef>
              <c:f>Sheet3!$C$3:$C$4</c:f>
              <c:strCache>
                <c:ptCount val="1"/>
                <c:pt idx="0">
                  <c:v>Electronics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East</c:v>
                </c:pt>
                <c:pt idx="1">
                  <c:v>North</c:v>
                </c:pt>
                <c:pt idx="2">
                  <c:v>South</c:v>
                </c:pt>
                <c:pt idx="3">
                  <c:v>West</c:v>
                </c:pt>
              </c:strCache>
            </c:strRef>
          </c:cat>
          <c:val>
            <c:numRef>
              <c:f>Sheet3!$C$5:$C$9</c:f>
              <c:numCache>
                <c:formatCode>General</c:formatCode>
                <c:ptCount val="4"/>
                <c:pt idx="0">
                  <c:v>1192987.5799999998</c:v>
                </c:pt>
                <c:pt idx="1">
                  <c:v>697264.8</c:v>
                </c:pt>
                <c:pt idx="2">
                  <c:v>1101563.6099999999</c:v>
                </c:pt>
                <c:pt idx="3">
                  <c:v>1040907.16</c:v>
                </c:pt>
              </c:numCache>
            </c:numRef>
          </c:val>
          <c:extLst>
            <c:ext xmlns:c16="http://schemas.microsoft.com/office/drawing/2014/chart" uri="{C3380CC4-5D6E-409C-BE32-E72D297353CC}">
              <c16:uniqueId val="{00000001-EA27-451B-AE75-A39362971504}"/>
            </c:ext>
          </c:extLst>
        </c:ser>
        <c:ser>
          <c:idx val="2"/>
          <c:order val="2"/>
          <c:tx>
            <c:strRef>
              <c:f>Sheet3!$D$3:$D$4</c:f>
              <c:strCache>
                <c:ptCount val="1"/>
                <c:pt idx="0">
                  <c:v>Furniture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East</c:v>
                </c:pt>
                <c:pt idx="1">
                  <c:v>North</c:v>
                </c:pt>
                <c:pt idx="2">
                  <c:v>South</c:v>
                </c:pt>
                <c:pt idx="3">
                  <c:v>West</c:v>
                </c:pt>
              </c:strCache>
            </c:strRef>
          </c:cat>
          <c:val>
            <c:numRef>
              <c:f>Sheet3!$D$5:$D$9</c:f>
              <c:numCache>
                <c:formatCode>General</c:formatCode>
                <c:ptCount val="4"/>
                <c:pt idx="0">
                  <c:v>296636.27</c:v>
                </c:pt>
                <c:pt idx="1">
                  <c:v>381962.78000000009</c:v>
                </c:pt>
                <c:pt idx="2">
                  <c:v>371490.26999999996</c:v>
                </c:pt>
                <c:pt idx="3">
                  <c:v>459002.34</c:v>
                </c:pt>
              </c:numCache>
            </c:numRef>
          </c:val>
          <c:extLst>
            <c:ext xmlns:c16="http://schemas.microsoft.com/office/drawing/2014/chart" uri="{C3380CC4-5D6E-409C-BE32-E72D297353CC}">
              <c16:uniqueId val="{00000002-EA27-451B-AE75-A39362971504}"/>
            </c:ext>
          </c:extLst>
        </c:ser>
        <c:dLbls>
          <c:showLegendKey val="0"/>
          <c:showVal val="0"/>
          <c:showCatName val="0"/>
          <c:showSerName val="0"/>
          <c:showPercent val="0"/>
          <c:showBubbleSize val="0"/>
        </c:dLbls>
        <c:gapWidth val="219"/>
        <c:overlap val="-27"/>
        <c:axId val="1279719296"/>
        <c:axId val="1279718336"/>
      </c:barChart>
      <c:catAx>
        <c:axId val="127971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718336"/>
        <c:crosses val="autoZero"/>
        <c:auto val="1"/>
        <c:lblAlgn val="ctr"/>
        <c:lblOffset val="100"/>
        <c:noMultiLvlLbl val="0"/>
      </c:catAx>
      <c:valAx>
        <c:axId val="1279718336"/>
        <c:scaling>
          <c:orientation val="minMax"/>
        </c:scaling>
        <c:delete val="1"/>
        <c:axPos val="l"/>
        <c:numFmt formatCode="General" sourceLinked="1"/>
        <c:majorTickMark val="none"/>
        <c:minorTickMark val="none"/>
        <c:tickLblPos val="nextTo"/>
        <c:crossAx val="127971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[real_company_pivot_practice (1).xlsx]Sheet1!PivotTable8</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Month</a:t>
            </a:r>
            <a:r>
              <a:rPr lang="en-US" baseline="0"/>
              <a:t> wise sales Trend</a:t>
            </a:r>
            <a:endParaRPr lang="en-US"/>
          </a:p>
        </c:rich>
      </c:tx>
      <c:overlay val="0"/>
      <c:spPr>
        <a:solidFill>
          <a:srgbClr val="C00000"/>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5.3819553805774377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4.06248906386702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8.993066491688549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6819553805774279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288195538057742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6.848622047244099E-2"/>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4904177602799656"/>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1263998250218716E-2"/>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434862204724409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6015288713910761"/>
              <c:y val="-7.8703703703703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2.6736001749781278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4041776027996498E-2"/>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4041776027996498E-2"/>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2.6736001749781278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6015288713910761"/>
              <c:y val="-7.8703703703703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434862204724409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4904177602799656"/>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1263998250218716E-2"/>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6.848622047244099E-2"/>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288195538057742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6819553805774279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8.993066491688549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4.06248906386702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5.3819553805774377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4041776027996498E-2"/>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2.6736001749781278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6015288713910761"/>
              <c:y val="-7.8703703703703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434862204724409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4904177602799656"/>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1263998250218716E-2"/>
              <c:y val="-0.254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6.848622047244099E-2"/>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0.1288195538057742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7.6819553805774279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8.993066491688549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4.06248906386702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manualLayout>
              <c:x val="-5.3819553805774377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s>
            <c:dLbl>
              <c:idx val="0"/>
              <c:layout>
                <c:manualLayout>
                  <c:x val="-7.4041776027996498E-2"/>
                  <c:y val="-9.25925925925926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7E-4400-8D83-7BAC4AB33FEA}"/>
                </c:ext>
              </c:extLst>
            </c:dLbl>
            <c:dLbl>
              <c:idx val="1"/>
              <c:layout>
                <c:manualLayout>
                  <c:x val="2.6736001749781278E-2"/>
                  <c:y val="5.55555555555556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7E-4400-8D83-7BAC4AB33FEA}"/>
                </c:ext>
              </c:extLst>
            </c:dLbl>
            <c:dLbl>
              <c:idx val="2"/>
              <c:layout>
                <c:manualLayout>
                  <c:x val="-0.16015288713910761"/>
                  <c:y val="-7.87037037037036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7E-4400-8D83-7BAC4AB33FEA}"/>
                </c:ext>
              </c:extLst>
            </c:dLbl>
            <c:dLbl>
              <c:idx val="3"/>
              <c:layout>
                <c:manualLayout>
                  <c:x val="-0.14348622047244092"/>
                  <c:y val="-6.48148148148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7E-4400-8D83-7BAC4AB33FEA}"/>
                </c:ext>
              </c:extLst>
            </c:dLbl>
            <c:dLbl>
              <c:idx val="4"/>
              <c:layout>
                <c:manualLayout>
                  <c:x val="-0.14904177602799656"/>
                  <c:y val="6.0185185185185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7E-4400-8D83-7BAC4AB33FEA}"/>
                </c:ext>
              </c:extLst>
            </c:dLbl>
            <c:dLbl>
              <c:idx val="5"/>
              <c:layout>
                <c:manualLayout>
                  <c:x val="-7.1263998250218716E-2"/>
                  <c:y val="-0.2546296296296296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7E-4400-8D83-7BAC4AB33FEA}"/>
                </c:ext>
              </c:extLst>
            </c:dLbl>
            <c:dLbl>
              <c:idx val="6"/>
              <c:layout>
                <c:manualLayout>
                  <c:x val="-6.848622047244099E-2"/>
                  <c:y val="0.1018518518518517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7E-4400-8D83-7BAC4AB33FEA}"/>
                </c:ext>
              </c:extLst>
            </c:dLbl>
            <c:dLbl>
              <c:idx val="7"/>
              <c:layout>
                <c:manualLayout>
                  <c:x val="-0.12881955380577428"/>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7E-4400-8D83-7BAC4AB33FEA}"/>
                </c:ext>
              </c:extLst>
            </c:dLbl>
            <c:dLbl>
              <c:idx val="8"/>
              <c:layout>
                <c:manualLayout>
                  <c:x val="-7.6819553805774279E-2"/>
                  <c:y val="-0.1296296296296296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7E-4400-8D83-7BAC4AB33FEA}"/>
                </c:ext>
              </c:extLst>
            </c:dLbl>
            <c:dLbl>
              <c:idx val="9"/>
              <c:layout>
                <c:manualLayout>
                  <c:x val="-8.9930664916885492E-2"/>
                  <c:y val="6.0185185185185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7E-4400-8D83-7BAC4AB33FEA}"/>
                </c:ext>
              </c:extLst>
            </c:dLbl>
            <c:dLbl>
              <c:idx val="10"/>
              <c:layout>
                <c:manualLayout>
                  <c:x val="4.0624890638670266E-2"/>
                  <c:y val="-8.487556272013328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7E-4400-8D83-7BAC4AB33FEA}"/>
                </c:ext>
              </c:extLst>
            </c:dLbl>
            <c:dLbl>
              <c:idx val="11"/>
              <c:layout>
                <c:manualLayout>
                  <c:x val="-5.3819553805774377E-2"/>
                  <c:y val="-8.7962962962962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7E-4400-8D83-7BAC4AB33F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noFill/>
              </a:ln>
              <a:effectLst/>
            </c:spPr>
            <c:trendlineType val="linear"/>
            <c:dispRSqr val="0"/>
            <c:dispEq val="0"/>
          </c:trendline>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525943.9</c:v>
                </c:pt>
                <c:pt idx="1">
                  <c:v>30193.34</c:v>
                </c:pt>
                <c:pt idx="2">
                  <c:v>62538</c:v>
                </c:pt>
                <c:pt idx="3">
                  <c:v>346877.58999999997</c:v>
                </c:pt>
                <c:pt idx="4">
                  <c:v>444370.02999999997</c:v>
                </c:pt>
                <c:pt idx="5">
                  <c:v>103392.56</c:v>
                </c:pt>
                <c:pt idx="6">
                  <c:v>145724.64000000001</c:v>
                </c:pt>
                <c:pt idx="7">
                  <c:v>117616.97999999998</c:v>
                </c:pt>
                <c:pt idx="8">
                  <c:v>62308.1</c:v>
                </c:pt>
                <c:pt idx="9">
                  <c:v>223074.3</c:v>
                </c:pt>
                <c:pt idx="10">
                  <c:v>21784.2</c:v>
                </c:pt>
                <c:pt idx="11">
                  <c:v>13824.69</c:v>
                </c:pt>
              </c:numCache>
            </c:numRef>
          </c:val>
          <c:smooth val="0"/>
          <c:extLst>
            <c:ext xmlns:c16="http://schemas.microsoft.com/office/drawing/2014/chart" uri="{C3380CC4-5D6E-409C-BE32-E72D297353CC}">
              <c16:uniqueId val="{0000000D-F37E-4400-8D83-7BAC4AB33FEA}"/>
            </c:ext>
          </c:extLst>
        </c:ser>
        <c:dLbls>
          <c:dLblPos val="ctr"/>
          <c:showLegendKey val="0"/>
          <c:showVal val="1"/>
          <c:showCatName val="0"/>
          <c:showSerName val="0"/>
          <c:showPercent val="0"/>
          <c:showBubbleSize val="0"/>
        </c:dLbls>
        <c:marker val="1"/>
        <c:smooth val="0"/>
        <c:axId val="1176347408"/>
        <c:axId val="1176333488"/>
      </c:lineChart>
      <c:catAx>
        <c:axId val="117634740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333488"/>
        <c:crosses val="autoZero"/>
        <c:auto val="1"/>
        <c:lblAlgn val="ctr"/>
        <c:lblOffset val="100"/>
        <c:noMultiLvlLbl val="0"/>
      </c:catAx>
      <c:valAx>
        <c:axId val="1176333488"/>
        <c:scaling>
          <c:orientation val="minMax"/>
        </c:scaling>
        <c:delete val="1"/>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crossAx val="117634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981075</xdr:colOff>
      <xdr:row>0</xdr:row>
      <xdr:rowOff>164306</xdr:rowOff>
    </xdr:from>
    <xdr:to>
      <xdr:col>9</xdr:col>
      <xdr:colOff>76200</xdr:colOff>
      <xdr:row>16</xdr:row>
      <xdr:rowOff>11906</xdr:rowOff>
    </xdr:to>
    <xdr:graphicFrame macro="">
      <xdr:nvGraphicFramePr>
        <xdr:cNvPr id="3" name="Chart 2">
          <a:extLst>
            <a:ext uri="{FF2B5EF4-FFF2-40B4-BE49-F238E27FC236}">
              <a16:creationId xmlns:a16="http://schemas.microsoft.com/office/drawing/2014/main" id="{A545E286-41C8-5C45-01EC-8416C36F0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632460</xdr:colOff>
      <xdr:row>13</xdr:row>
      <xdr:rowOff>64770</xdr:rowOff>
    </xdr:from>
    <xdr:to>
      <xdr:col>13</xdr:col>
      <xdr:colOff>30480</xdr:colOff>
      <xdr:row>36</xdr:row>
      <xdr:rowOff>175260</xdr:rowOff>
    </xdr:to>
    <xdr:graphicFrame macro="">
      <xdr:nvGraphicFramePr>
        <xdr:cNvPr id="2" name="Chart 1">
          <a:extLst>
            <a:ext uri="{FF2B5EF4-FFF2-40B4-BE49-F238E27FC236}">
              <a16:creationId xmlns:a16="http://schemas.microsoft.com/office/drawing/2014/main" id="{28A36FC0-502B-28A3-1E60-9B59E8485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6</xdr:col>
      <xdr:colOff>228600</xdr:colOff>
      <xdr:row>0</xdr:row>
      <xdr:rowOff>83820</xdr:rowOff>
    </xdr:from>
    <xdr:ext cx="6156960" cy="462680"/>
    <xdr:sp macro="" textlink="">
      <xdr:nvSpPr>
        <xdr:cNvPr id="2" name="TextBox 1">
          <a:extLst>
            <a:ext uri="{FF2B5EF4-FFF2-40B4-BE49-F238E27FC236}">
              <a16:creationId xmlns:a16="http://schemas.microsoft.com/office/drawing/2014/main" id="{3136BE95-B37E-B10B-BC39-9C786BBCAEAD}"/>
            </a:ext>
          </a:extLst>
        </xdr:cNvPr>
        <xdr:cNvSpPr txBox="1"/>
      </xdr:nvSpPr>
      <xdr:spPr>
        <a:xfrm>
          <a:off x="3886200" y="83820"/>
          <a:ext cx="6156960" cy="462680"/>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5400" b="1"/>
            <a:t>SAles DAshboard</a:t>
          </a:r>
        </a:p>
      </xdr:txBody>
    </xdr:sp>
    <xdr:clientData/>
  </xdr:oneCellAnchor>
  <xdr:twoCellAnchor>
    <xdr:from>
      <xdr:col>0</xdr:col>
      <xdr:colOff>83820</xdr:colOff>
      <xdr:row>3</xdr:row>
      <xdr:rowOff>160020</xdr:rowOff>
    </xdr:from>
    <xdr:to>
      <xdr:col>8</xdr:col>
      <xdr:colOff>533400</xdr:colOff>
      <xdr:row>19</xdr:row>
      <xdr:rowOff>83820</xdr:rowOff>
    </xdr:to>
    <xdr:graphicFrame macro="">
      <xdr:nvGraphicFramePr>
        <xdr:cNvPr id="4" name="Chart 3">
          <a:extLst>
            <a:ext uri="{FF2B5EF4-FFF2-40B4-BE49-F238E27FC236}">
              <a16:creationId xmlns:a16="http://schemas.microsoft.com/office/drawing/2014/main" id="{A09E4EF1-9A5A-4299-B50C-B564E9279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4</xdr:row>
      <xdr:rowOff>0</xdr:rowOff>
    </xdr:from>
    <xdr:to>
      <xdr:col>17</xdr:col>
      <xdr:colOff>335280</xdr:colOff>
      <xdr:row>19</xdr:row>
      <xdr:rowOff>99060</xdr:rowOff>
    </xdr:to>
    <xdr:graphicFrame macro="">
      <xdr:nvGraphicFramePr>
        <xdr:cNvPr id="5" name="Chart 4">
          <a:extLst>
            <a:ext uri="{FF2B5EF4-FFF2-40B4-BE49-F238E27FC236}">
              <a16:creationId xmlns:a16="http://schemas.microsoft.com/office/drawing/2014/main" id="{CD40D1A6-C31C-4A82-BD08-A88BC839F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106680</xdr:colOff>
      <xdr:row>15</xdr:row>
      <xdr:rowOff>99060</xdr:rowOff>
    </xdr:from>
    <xdr:to>
      <xdr:col>21</xdr:col>
      <xdr:colOff>106680</xdr:colOff>
      <xdr:row>29</xdr:row>
      <xdr:rowOff>5715</xdr:rowOff>
    </xdr:to>
    <mc:AlternateContent xmlns:mc="http://schemas.openxmlformats.org/markup-compatibility/2006">
      <mc:Choice xmlns:a14="http://schemas.microsoft.com/office/drawing/2010/main" Requires="a14">
        <xdr:graphicFrame macro="">
          <xdr:nvGraphicFramePr>
            <xdr:cNvPr id="6" name="State">
              <a:extLst>
                <a:ext uri="{FF2B5EF4-FFF2-40B4-BE49-F238E27FC236}">
                  <a16:creationId xmlns:a16="http://schemas.microsoft.com/office/drawing/2014/main" id="{29D4C01D-F410-441D-1B70-9B37F5F6485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079480" y="2849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83820</xdr:colOff>
      <xdr:row>1</xdr:row>
      <xdr:rowOff>99060</xdr:rowOff>
    </xdr:from>
    <xdr:to>
      <xdr:col>21</xdr:col>
      <xdr:colOff>83820</xdr:colOff>
      <xdr:row>14</xdr:row>
      <xdr:rowOff>180975</xdr:rowOff>
    </xdr:to>
    <mc:AlternateContent xmlns:mc="http://schemas.openxmlformats.org/markup-compatibility/2006">
      <mc:Choice xmlns:a14="http://schemas.microsoft.com/office/drawing/2010/main" Requires="a14">
        <xdr:graphicFrame macro="">
          <xdr:nvGraphicFramePr>
            <xdr:cNvPr id="7" name="Salesperson">
              <a:extLst>
                <a:ext uri="{FF2B5EF4-FFF2-40B4-BE49-F238E27FC236}">
                  <a16:creationId xmlns:a16="http://schemas.microsoft.com/office/drawing/2014/main" id="{C981C074-D7CB-3B5B-3B9B-50293B22DB2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1056620" y="281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19</xdr:row>
      <xdr:rowOff>167640</xdr:rowOff>
    </xdr:from>
    <xdr:to>
      <xdr:col>15</xdr:col>
      <xdr:colOff>518160</xdr:colOff>
      <xdr:row>27</xdr:row>
      <xdr:rowOff>76200</xdr:rowOff>
    </xdr:to>
    <mc:AlternateContent xmlns:mc="http://schemas.openxmlformats.org/markup-compatibility/2006">
      <mc:Choice xmlns:tsle="http://schemas.microsoft.com/office/drawing/2012/timeslicer" Requires="tsle">
        <xdr:graphicFrame macro="">
          <xdr:nvGraphicFramePr>
            <xdr:cNvPr id="8" name="Order_Date">
              <a:extLst>
                <a:ext uri="{FF2B5EF4-FFF2-40B4-BE49-F238E27FC236}">
                  <a16:creationId xmlns:a16="http://schemas.microsoft.com/office/drawing/2014/main" id="{8D886DD6-4198-2CAA-DC2E-A9310580FE5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4300" y="3649980"/>
              <a:ext cx="95478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4.702760300926" createdVersion="8" refreshedVersion="8" minRefreshableVersion="3" recordCount="240" xr:uid="{199BED20-0B5A-4B6E-B600-D14410389E43}">
  <cacheSource type="worksheet">
    <worksheetSource ref="A1:O241" sheet="Sales_Data"/>
  </cacheSource>
  <cacheFields count="17">
    <cacheField name="Order_ID" numFmtId="0">
      <sharedItems/>
    </cacheField>
    <cacheField name="Order_Date" numFmtId="165">
      <sharedItems containsSemiMixedTypes="0" containsNonDate="0" containsDate="1" containsString="0" minDate="2025-01-02T00:00:00" maxDate="2026-01-01T00:00:00" count="181">
        <d v="2025-06-15T00:00:00"/>
        <d v="2025-04-20T00:00:00"/>
        <d v="2025-10-17T00:00:00"/>
        <d v="2025-03-10T00:00:00"/>
        <d v="2025-02-22T00:00:00"/>
        <d v="2025-12-15T00:00:00"/>
        <d v="2025-05-05T00:00:00"/>
        <d v="2025-02-07T00:00:00"/>
        <d v="2025-02-09T00:00:00"/>
        <d v="2025-05-19T00:00:00"/>
        <d v="2025-08-17T00:00:00"/>
        <d v="2025-09-10T00:00:00"/>
        <d v="2025-02-11T00:00:00"/>
        <d v="2025-08-01T00:00:00"/>
        <d v="2025-01-07T00:00:00"/>
        <d v="2025-09-04T00:00:00"/>
        <d v="2025-11-11T00:00:00"/>
        <d v="2025-08-27T00:00:00"/>
        <d v="2025-12-21T00:00:00"/>
        <d v="2025-09-28T00:00:00"/>
        <d v="2025-04-25T00:00:00"/>
        <d v="2025-09-23T00:00:00"/>
        <d v="2025-06-26T00:00:00"/>
        <d v="2025-04-15T00:00:00"/>
        <d v="2025-07-18T00:00:00"/>
        <d v="2025-07-22T00:00:00"/>
        <d v="2025-11-29T00:00:00"/>
        <d v="2025-05-04T00:00:00"/>
        <d v="2025-09-22T00:00:00"/>
        <d v="2025-04-04T00:00:00"/>
        <d v="2025-12-16T00:00:00"/>
        <d v="2025-10-15T00:00:00"/>
        <d v="2025-08-20T00:00:00"/>
        <d v="2025-08-18T00:00:00"/>
        <d v="2025-04-19T00:00:00"/>
        <d v="2025-08-28T00:00:00"/>
        <d v="2025-08-09T00:00:00"/>
        <d v="2025-10-11T00:00:00"/>
        <d v="2025-02-27T00:00:00"/>
        <d v="2025-08-05T00:00:00"/>
        <d v="2025-01-30T00:00:00"/>
        <d v="2025-04-24T00:00:00"/>
        <d v="2025-11-15T00:00:00"/>
        <d v="2025-11-18T00:00:00"/>
        <d v="2025-01-10T00:00:00"/>
        <d v="2025-05-06T00:00:00"/>
        <d v="2025-04-21T00:00:00"/>
        <d v="2025-01-28T00:00:00"/>
        <d v="2025-07-15T00:00:00"/>
        <d v="2025-01-02T00:00:00"/>
        <d v="2025-07-02T00:00:00"/>
        <d v="2025-09-16T00:00:00"/>
        <d v="2025-06-05T00:00:00"/>
        <d v="2025-09-11T00:00:00"/>
        <d v="2025-02-13T00:00:00"/>
        <d v="2025-09-15T00:00:00"/>
        <d v="2025-05-01T00:00:00"/>
        <d v="2025-01-24T00:00:00"/>
        <d v="2025-05-29T00:00:00"/>
        <d v="2025-08-31T00:00:00"/>
        <d v="2025-04-18T00:00:00"/>
        <d v="2025-11-20T00:00:00"/>
        <d v="2025-09-09T00:00:00"/>
        <d v="2025-06-19T00:00:00"/>
        <d v="2025-05-10T00:00:00"/>
        <d v="2025-01-25T00:00:00"/>
        <d v="2025-09-19T00:00:00"/>
        <d v="2025-10-09T00:00:00"/>
        <d v="2025-05-27T00:00:00"/>
        <d v="2025-12-01T00:00:00"/>
        <d v="2025-03-24T00:00:00"/>
        <d v="2025-03-13T00:00:00"/>
        <d v="2025-10-19T00:00:00"/>
        <d v="2025-02-01T00:00:00"/>
        <d v="2025-01-12T00:00:00"/>
        <d v="2025-12-25T00:00:00"/>
        <d v="2025-06-03T00:00:00"/>
        <d v="2025-05-23T00:00:00"/>
        <d v="2025-12-27T00:00:00"/>
        <d v="2025-12-08T00:00:00"/>
        <d v="2025-04-10T00:00:00"/>
        <d v="2025-03-14T00:00:00"/>
        <d v="2025-02-10T00:00:00"/>
        <d v="2025-07-13T00:00:00"/>
        <d v="2025-03-05T00:00:00"/>
        <d v="2025-10-05T00:00:00"/>
        <d v="2025-11-17T00:00:00"/>
        <d v="2025-11-07T00:00:00"/>
        <d v="2025-05-22T00:00:00"/>
        <d v="2025-07-17T00:00:00"/>
        <d v="2025-09-20T00:00:00"/>
        <d v="2025-06-16T00:00:00"/>
        <d v="2025-12-30T00:00:00"/>
        <d v="2025-10-03T00:00:00"/>
        <d v="2025-08-13T00:00:00"/>
        <d v="2025-05-09T00:00:00"/>
        <d v="2025-09-01T00:00:00"/>
        <d v="2025-10-26T00:00:00"/>
        <d v="2025-01-04T00:00:00"/>
        <d v="2025-05-11T00:00:00"/>
        <d v="2025-07-06T00:00:00"/>
        <d v="2025-07-27T00:00:00"/>
        <d v="2025-07-23T00:00:00"/>
        <d v="2025-03-29T00:00:00"/>
        <d v="2025-09-05T00:00:00"/>
        <d v="2025-03-22T00:00:00"/>
        <d v="2025-12-11T00:00:00"/>
        <d v="2025-06-06T00:00:00"/>
        <d v="2025-04-02T00:00:00"/>
        <d v="2025-03-09T00:00:00"/>
        <d v="2025-10-31T00:00:00"/>
        <d v="2025-07-04T00:00:00"/>
        <d v="2025-06-04T00:00:00"/>
        <d v="2025-12-29T00:00:00"/>
        <d v="2025-05-16T00:00:00"/>
        <d v="2025-11-25T00:00:00"/>
        <d v="2025-09-02T00:00:00"/>
        <d v="2025-02-23T00:00:00"/>
        <d v="2025-01-27T00:00:00"/>
        <d v="2025-04-22T00:00:00"/>
        <d v="2025-06-17T00:00:00"/>
        <d v="2025-10-02T00:00:00"/>
        <d v="2025-02-04T00:00:00"/>
        <d v="2025-12-31T00:00:00"/>
        <d v="2025-11-21T00:00:00"/>
        <d v="2025-05-31T00:00:00"/>
        <d v="2025-07-08T00:00:00"/>
        <d v="2025-02-16T00:00:00"/>
        <d v="2025-01-03T00:00:00"/>
        <d v="2025-09-21T00:00:00"/>
        <d v="2025-11-22T00:00:00"/>
        <d v="2025-02-14T00:00:00"/>
        <d v="2025-11-27T00:00:00"/>
        <d v="2025-08-26T00:00:00"/>
        <d v="2025-05-02T00:00:00"/>
        <d v="2025-12-03T00:00:00"/>
        <d v="2025-02-25T00:00:00"/>
        <d v="2025-12-22T00:00:00"/>
        <d v="2025-02-20T00:00:00"/>
        <d v="2025-08-22T00:00:00"/>
        <d v="2025-01-06T00:00:00"/>
        <d v="2025-04-13T00:00:00"/>
        <d v="2025-07-09T00:00:00"/>
        <d v="2025-08-04T00:00:00"/>
        <d v="2025-04-23T00:00:00"/>
        <d v="2025-04-26T00:00:00"/>
        <d v="2025-07-01T00:00:00"/>
        <d v="2025-05-24T00:00:00"/>
        <d v="2025-07-05T00:00:00"/>
        <d v="2025-03-15T00:00:00"/>
        <d v="2025-12-19T00:00:00"/>
        <d v="2025-12-13T00:00:00"/>
        <d v="2025-06-23T00:00:00"/>
        <d v="2025-08-11T00:00:00"/>
        <d v="2025-06-20T00:00:00"/>
        <d v="2025-01-26T00:00:00"/>
        <d v="2025-09-14T00:00:00"/>
        <d v="2025-02-21T00:00:00"/>
        <d v="2025-01-18T00:00:00"/>
        <d v="2025-03-02T00:00:00"/>
        <d v="2025-12-04T00:00:00"/>
        <d v="2025-04-06T00:00:00"/>
        <d v="2025-12-09T00:00:00"/>
        <d v="2025-07-19T00:00:00"/>
        <d v="2025-07-12T00:00:00"/>
        <d v="2025-05-18T00:00:00"/>
        <d v="2025-10-08T00:00:00"/>
        <d v="2025-04-30T00:00:00"/>
        <d v="2025-01-05T00:00:00"/>
        <d v="2025-05-13T00:00:00"/>
        <d v="2025-02-19T00:00:00"/>
        <d v="2025-01-15T00:00:00"/>
        <d v="2025-03-03T00:00:00"/>
        <d v="2025-07-21T00:00:00"/>
        <d v="2025-06-30T00:00:00"/>
        <d v="2025-08-14T00:00:00"/>
        <d v="2025-04-03T00:00:00"/>
        <d v="2025-03-20T00:00:00"/>
        <d v="2025-09-27T00:00:00"/>
        <d v="2025-05-21T00:00:00"/>
        <d v="2025-04-14T00:00:00"/>
      </sharedItems>
      <fieldGroup par="16"/>
    </cacheField>
    <cacheField name="Month" numFmtId="0">
      <sharedItems/>
    </cacheField>
    <cacheField name="Region" numFmtId="0">
      <sharedItems count="4">
        <s v="North"/>
        <s v="West"/>
        <s v="South"/>
        <s v="East"/>
      </sharedItems>
    </cacheField>
    <cacheField name="State" numFmtId="0">
      <sharedItems count="11">
        <s v="Punjab"/>
        <s v="Maharashtra"/>
        <s v="Tamil Nadu"/>
        <s v="Odisha"/>
        <s v="Gujarat"/>
        <s v="Bihar"/>
        <s v="Telangana"/>
        <s v="Karnataka"/>
        <s v="West Bengal"/>
        <s v="Uttar Pradesh"/>
        <s v="Delhi"/>
      </sharedItems>
    </cacheField>
    <cacheField name="City" numFmtId="0">
      <sharedItems count="12">
        <s v="Ludhiana"/>
        <s v="Mumbai"/>
        <s v="Chennai"/>
        <s v="Bhubaneswar"/>
        <s v="Ahmedabad"/>
        <s v="Patna"/>
        <s v="Hyderabad"/>
        <s v="Bengaluru"/>
        <s v="Kolkata"/>
        <s v="Lucknow"/>
        <s v="New Delhi"/>
        <s v="Pune"/>
      </sharedItems>
    </cacheField>
    <cacheField name="Salesperson" numFmtId="0">
      <sharedItems count="8">
        <s v="Amit"/>
        <s v="Vikas"/>
        <s v="Rahul"/>
        <s v="Neha"/>
        <s v="Pooja"/>
        <s v="Karan"/>
        <s v="Sneha"/>
        <s v="Priya"/>
      </sharedItems>
    </cacheField>
    <cacheField name="Customer_Segment" numFmtId="0">
      <sharedItems/>
    </cacheField>
    <cacheField name="Product_Category" numFmtId="0">
      <sharedItems count="3">
        <s v="Accessories"/>
        <s v="Electronics"/>
        <s v="Furniture"/>
      </sharedItems>
    </cacheField>
    <cacheField name="Product" numFmtId="0">
      <sharedItems count="9">
        <s v="Keyboard"/>
        <s v="Laptop"/>
        <s v="Mouse"/>
        <s v="Monitor"/>
        <s v="Desk"/>
        <s v="Office Chair"/>
        <s v="Storage Rack"/>
        <s v="Headset"/>
        <s v="Tablet"/>
      </sharedItems>
    </cacheField>
    <cacheField name="Units" numFmtId="1">
      <sharedItems containsSemiMixedTypes="0" containsString="0" containsNumber="1" containsInteger="1" minValue="1" maxValue="12"/>
    </cacheField>
    <cacheField name="Unit_Price" numFmtId="166">
      <sharedItems containsSemiMixedTypes="0" containsString="0" containsNumber="1" minValue="848.45" maxValue="55535.38"/>
    </cacheField>
    <cacheField name="Sales_Amount" numFmtId="166">
      <sharedItems containsSemiMixedTypes="0" containsString="0" containsNumber="1" minValue="922.27" maxValue="640555.80000000005"/>
    </cacheField>
    <cacheField name="Cost_Amount" numFmtId="166">
      <sharedItems containsSemiMixedTypes="0" containsString="0" containsNumber="1" minValue="477.33" maxValue="503803.44"/>
    </cacheField>
    <cacheField name="Profit_Amount" numFmtId="166">
      <sharedItems containsSemiMixedTypes="0" containsString="0" containsNumber="1" minValue="420.95" maxValue="171057.6"/>
    </cacheField>
    <cacheField name="Days (Order_Date)" numFmtId="0" databaseField="0">
      <fieldGroup base="1">
        <rangePr groupBy="days" startDate="2025-01-02T00:00:00" endDate="2026-01-01T00: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_Date)" numFmtId="0" databaseField="0">
      <fieldGroup base="1">
        <rangePr groupBy="months" startDate="2025-01-02T00:00:00" endDate="2026-01-01T00:00:00"/>
        <groupItems count="14">
          <s v="&lt;1/2/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3585045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s v="ORD0001"/>
    <x v="0"/>
    <s v="Jun-2025"/>
    <x v="0"/>
    <x v="0"/>
    <x v="0"/>
    <x v="0"/>
    <s v="Corporate"/>
    <x v="0"/>
    <x v="0"/>
    <n v="6"/>
    <n v="1220.9000000000001"/>
    <n v="7325.4"/>
    <n v="4372.08"/>
    <n v="2953.32"/>
  </r>
  <r>
    <s v="ORD0002"/>
    <x v="1"/>
    <s v="Apr-2025"/>
    <x v="1"/>
    <x v="1"/>
    <x v="1"/>
    <x v="1"/>
    <s v="Retail"/>
    <x v="1"/>
    <x v="1"/>
    <n v="2"/>
    <n v="52658.17"/>
    <n v="105316.34"/>
    <n v="78384.7"/>
    <n v="26931.64"/>
  </r>
  <r>
    <s v="ORD0003"/>
    <x v="2"/>
    <s v="Oct-2025"/>
    <x v="1"/>
    <x v="1"/>
    <x v="1"/>
    <x v="0"/>
    <s v="Distributor"/>
    <x v="0"/>
    <x v="2"/>
    <n v="1"/>
    <n v="968.79"/>
    <n v="968.79"/>
    <n v="477.33"/>
    <n v="491.46"/>
  </r>
  <r>
    <s v="ORD0004"/>
    <x v="3"/>
    <s v="Mar-2025"/>
    <x v="2"/>
    <x v="2"/>
    <x v="2"/>
    <x v="2"/>
    <s v="Distributor"/>
    <x v="1"/>
    <x v="3"/>
    <n v="5"/>
    <n v="12168.46"/>
    <n v="60842.3"/>
    <n v="40728"/>
    <n v="20114.3"/>
  </r>
  <r>
    <s v="ORD0005"/>
    <x v="4"/>
    <s v="Feb-2025"/>
    <x v="0"/>
    <x v="0"/>
    <x v="0"/>
    <x v="3"/>
    <s v="Distributor"/>
    <x v="0"/>
    <x v="0"/>
    <n v="10"/>
    <n v="1126.73"/>
    <n v="11267.3"/>
    <n v="6794.2"/>
    <n v="4473.1000000000004"/>
  </r>
  <r>
    <s v="ORD0006"/>
    <x v="5"/>
    <s v="Dec-2025"/>
    <x v="3"/>
    <x v="3"/>
    <x v="3"/>
    <x v="4"/>
    <s v="Distributor"/>
    <x v="2"/>
    <x v="4"/>
    <n v="5"/>
    <n v="10639.9"/>
    <n v="53199.5"/>
    <n v="36783.1"/>
    <n v="16416.400000000001"/>
  </r>
  <r>
    <s v="ORD0007"/>
    <x v="6"/>
    <s v="May-2025"/>
    <x v="1"/>
    <x v="4"/>
    <x v="4"/>
    <x v="5"/>
    <s v="Distributor"/>
    <x v="2"/>
    <x v="4"/>
    <n v="12"/>
    <n v="10970.58"/>
    <n v="131646.96"/>
    <n v="92193.72"/>
    <n v="39453.24"/>
  </r>
  <r>
    <s v="ORD0008"/>
    <x v="7"/>
    <s v="Feb-2025"/>
    <x v="1"/>
    <x v="4"/>
    <x v="4"/>
    <x v="1"/>
    <s v="Corporate"/>
    <x v="2"/>
    <x v="5"/>
    <n v="8"/>
    <n v="6456.16"/>
    <n v="51649.279999999999"/>
    <n v="35152.400000000001"/>
    <n v="16496.88"/>
  </r>
  <r>
    <s v="ORD0009"/>
    <x v="8"/>
    <s v="Feb-2025"/>
    <x v="2"/>
    <x v="2"/>
    <x v="2"/>
    <x v="6"/>
    <s v="Distributor"/>
    <x v="2"/>
    <x v="6"/>
    <n v="8"/>
    <n v="8462.83"/>
    <n v="67702.64"/>
    <n v="47584.24"/>
    <n v="20118.400000000001"/>
  </r>
  <r>
    <s v="ORD0010"/>
    <x v="9"/>
    <s v="May-2025"/>
    <x v="3"/>
    <x v="5"/>
    <x v="5"/>
    <x v="3"/>
    <s v="Corporate"/>
    <x v="0"/>
    <x v="7"/>
    <n v="5"/>
    <n v="2567.67"/>
    <n v="12838.35"/>
    <n v="7869.8"/>
    <n v="4968.55"/>
  </r>
  <r>
    <s v="ORD0011"/>
    <x v="10"/>
    <s v="Aug-2025"/>
    <x v="2"/>
    <x v="6"/>
    <x v="6"/>
    <x v="1"/>
    <s v="Distributor"/>
    <x v="2"/>
    <x v="5"/>
    <n v="8"/>
    <n v="6391.58"/>
    <n v="51132.639999999999"/>
    <n v="33972.720000000001"/>
    <n v="17159.919999999998"/>
  </r>
  <r>
    <s v="ORD0012"/>
    <x v="11"/>
    <s v="Sep-2025"/>
    <x v="1"/>
    <x v="1"/>
    <x v="1"/>
    <x v="5"/>
    <s v="Corporate"/>
    <x v="0"/>
    <x v="0"/>
    <n v="7"/>
    <n v="1186.3699999999999"/>
    <n v="8304.59"/>
    <n v="5082"/>
    <n v="3222.59"/>
  </r>
  <r>
    <s v="ORD0013"/>
    <x v="12"/>
    <s v="Feb-2025"/>
    <x v="0"/>
    <x v="0"/>
    <x v="0"/>
    <x v="1"/>
    <s v="Distributor"/>
    <x v="2"/>
    <x v="5"/>
    <n v="7"/>
    <n v="6887.38"/>
    <n v="48211.66"/>
    <n v="28748.58"/>
    <n v="19463.080000000002"/>
  </r>
  <r>
    <s v="ORD0014"/>
    <x v="13"/>
    <s v="Aug-2025"/>
    <x v="2"/>
    <x v="6"/>
    <x v="6"/>
    <x v="1"/>
    <s v="Corporate"/>
    <x v="1"/>
    <x v="1"/>
    <n v="3"/>
    <n v="49540.13"/>
    <n v="148620.39000000001"/>
    <n v="124949.75999999999"/>
    <n v="23670.63"/>
  </r>
  <r>
    <s v="ORD0015"/>
    <x v="14"/>
    <s v="Jan-2025"/>
    <x v="3"/>
    <x v="5"/>
    <x v="5"/>
    <x v="2"/>
    <s v="Retail"/>
    <x v="2"/>
    <x v="5"/>
    <n v="3"/>
    <n v="6453.47"/>
    <n v="19360.41"/>
    <n v="12435.27"/>
    <n v="6925.14"/>
  </r>
  <r>
    <s v="ORD0016"/>
    <x v="2"/>
    <s v="Oct-2025"/>
    <x v="2"/>
    <x v="7"/>
    <x v="7"/>
    <x v="0"/>
    <s v="Retail"/>
    <x v="0"/>
    <x v="7"/>
    <n v="7"/>
    <n v="2474.2800000000002"/>
    <n v="17319.96"/>
    <n v="10388.84"/>
    <n v="6931.12"/>
  </r>
  <r>
    <s v="ORD0017"/>
    <x v="15"/>
    <s v="Sep-2025"/>
    <x v="3"/>
    <x v="8"/>
    <x v="8"/>
    <x v="7"/>
    <s v="Corporate"/>
    <x v="1"/>
    <x v="8"/>
    <n v="3"/>
    <n v="17036.810000000001"/>
    <n v="51110.43"/>
    <n v="39392.85"/>
    <n v="11717.58"/>
  </r>
  <r>
    <s v="ORD0018"/>
    <x v="4"/>
    <s v="Feb-2025"/>
    <x v="1"/>
    <x v="4"/>
    <x v="4"/>
    <x v="2"/>
    <s v="Distributor"/>
    <x v="1"/>
    <x v="8"/>
    <n v="10"/>
    <n v="16808.849999999999"/>
    <n v="168088.5"/>
    <n v="134866.29999999999"/>
    <n v="33222.199999999997"/>
  </r>
  <r>
    <s v="ORD0019"/>
    <x v="16"/>
    <s v="Nov-2025"/>
    <x v="3"/>
    <x v="8"/>
    <x v="8"/>
    <x v="5"/>
    <s v="Retail"/>
    <x v="0"/>
    <x v="2"/>
    <n v="8"/>
    <n v="853.58"/>
    <n v="6828.64"/>
    <n v="4139.6000000000004"/>
    <n v="2689.04"/>
  </r>
  <r>
    <s v="ORD0020"/>
    <x v="17"/>
    <s v="Aug-2025"/>
    <x v="3"/>
    <x v="3"/>
    <x v="3"/>
    <x v="5"/>
    <s v="Corporate"/>
    <x v="1"/>
    <x v="1"/>
    <n v="12"/>
    <n v="51032.56"/>
    <n v="612390.72"/>
    <n v="480426"/>
    <n v="131964.72"/>
  </r>
  <r>
    <s v="ORD0021"/>
    <x v="18"/>
    <s v="Dec-2025"/>
    <x v="0"/>
    <x v="9"/>
    <x v="9"/>
    <x v="0"/>
    <s v="Corporate"/>
    <x v="0"/>
    <x v="2"/>
    <n v="3"/>
    <n v="930.16"/>
    <n v="2790.48"/>
    <n v="1562.13"/>
    <n v="1228.3499999999999"/>
  </r>
  <r>
    <s v="ORD0022"/>
    <x v="19"/>
    <s v="Sep-2025"/>
    <x v="2"/>
    <x v="6"/>
    <x v="6"/>
    <x v="3"/>
    <s v="Distributor"/>
    <x v="2"/>
    <x v="6"/>
    <n v="6"/>
    <n v="9596.15"/>
    <n v="57576.9"/>
    <n v="36663.18"/>
    <n v="20913.72"/>
  </r>
  <r>
    <s v="ORD0023"/>
    <x v="20"/>
    <s v="Apr-2025"/>
    <x v="2"/>
    <x v="6"/>
    <x v="6"/>
    <x v="7"/>
    <s v="Distributor"/>
    <x v="1"/>
    <x v="1"/>
    <n v="7"/>
    <n v="54131.01"/>
    <n v="378917.07"/>
    <n v="279157.40999999997"/>
    <n v="99759.66"/>
  </r>
  <r>
    <s v="ORD0024"/>
    <x v="21"/>
    <s v="Sep-2025"/>
    <x v="3"/>
    <x v="3"/>
    <x v="3"/>
    <x v="0"/>
    <s v="Corporate"/>
    <x v="2"/>
    <x v="4"/>
    <n v="5"/>
    <n v="10549.51"/>
    <n v="52747.55"/>
    <n v="38399.550000000003"/>
    <n v="14348"/>
  </r>
  <r>
    <s v="ORD0025"/>
    <x v="22"/>
    <s v="Jun-2025"/>
    <x v="3"/>
    <x v="5"/>
    <x v="5"/>
    <x v="6"/>
    <s v="Retail"/>
    <x v="1"/>
    <x v="1"/>
    <n v="2"/>
    <n v="50129.4"/>
    <n v="100258.8"/>
    <n v="79513"/>
    <n v="20745.8"/>
  </r>
  <r>
    <s v="ORD0026"/>
    <x v="23"/>
    <s v="Apr-2025"/>
    <x v="3"/>
    <x v="5"/>
    <x v="5"/>
    <x v="0"/>
    <s v="Retail"/>
    <x v="0"/>
    <x v="2"/>
    <n v="11"/>
    <n v="848.45"/>
    <n v="9332.9500000000007"/>
    <n v="5588.33"/>
    <n v="3744.62"/>
  </r>
  <r>
    <s v="ORD0027"/>
    <x v="24"/>
    <s v="Jul-2025"/>
    <x v="0"/>
    <x v="0"/>
    <x v="0"/>
    <x v="2"/>
    <s v="Retail"/>
    <x v="0"/>
    <x v="2"/>
    <n v="2"/>
    <n v="945.11"/>
    <n v="1890.22"/>
    <n v="1047.1600000000001"/>
    <n v="843.06"/>
  </r>
  <r>
    <s v="ORD0028"/>
    <x v="25"/>
    <s v="Jul-2025"/>
    <x v="3"/>
    <x v="3"/>
    <x v="3"/>
    <x v="3"/>
    <s v="Distributor"/>
    <x v="1"/>
    <x v="1"/>
    <n v="3"/>
    <n v="48574.879999999997"/>
    <n v="145724.64000000001"/>
    <n v="124116.99"/>
    <n v="21607.65"/>
  </r>
  <r>
    <s v="ORD0029"/>
    <x v="17"/>
    <s v="Aug-2025"/>
    <x v="0"/>
    <x v="9"/>
    <x v="9"/>
    <x v="4"/>
    <s v="Distributor"/>
    <x v="2"/>
    <x v="5"/>
    <n v="9"/>
    <n v="6579.58"/>
    <n v="59216.22"/>
    <n v="35990.910000000003"/>
    <n v="23225.31"/>
  </r>
  <r>
    <s v="ORD0030"/>
    <x v="26"/>
    <s v="Nov-2025"/>
    <x v="1"/>
    <x v="4"/>
    <x v="4"/>
    <x v="2"/>
    <s v="Retail"/>
    <x v="1"/>
    <x v="1"/>
    <n v="1"/>
    <n v="50324.31"/>
    <n v="50324.31"/>
    <n v="40151.160000000003"/>
    <n v="10173.15"/>
  </r>
  <r>
    <s v="ORD0031"/>
    <x v="27"/>
    <s v="May-2025"/>
    <x v="2"/>
    <x v="2"/>
    <x v="2"/>
    <x v="1"/>
    <s v="Corporate"/>
    <x v="1"/>
    <x v="3"/>
    <n v="6"/>
    <n v="12775.87"/>
    <n v="76655.22"/>
    <n v="48779.88"/>
    <n v="27875.34"/>
  </r>
  <r>
    <s v="ORD0032"/>
    <x v="28"/>
    <s v="Sep-2025"/>
    <x v="3"/>
    <x v="5"/>
    <x v="5"/>
    <x v="2"/>
    <s v="Distributor"/>
    <x v="1"/>
    <x v="3"/>
    <n v="9"/>
    <n v="11193.67"/>
    <n v="100743.03"/>
    <n v="71568.899999999994"/>
    <n v="29174.13"/>
  </r>
  <r>
    <s v="ORD0033"/>
    <x v="29"/>
    <s v="Apr-2025"/>
    <x v="1"/>
    <x v="1"/>
    <x v="1"/>
    <x v="2"/>
    <s v="Corporate"/>
    <x v="2"/>
    <x v="6"/>
    <n v="12"/>
    <n v="8532.4500000000007"/>
    <n v="102389.4"/>
    <n v="71139.48"/>
    <n v="31249.919999999998"/>
  </r>
  <r>
    <s v="ORD0034"/>
    <x v="30"/>
    <s v="Dec-2025"/>
    <x v="3"/>
    <x v="8"/>
    <x v="8"/>
    <x v="0"/>
    <s v="Corporate"/>
    <x v="1"/>
    <x v="8"/>
    <n v="1"/>
    <n v="18825.099999999999"/>
    <n v="18825.099999999999"/>
    <n v="13010.03"/>
    <n v="5815.07"/>
  </r>
  <r>
    <s v="ORD0035"/>
    <x v="31"/>
    <s v="Oct-2025"/>
    <x v="1"/>
    <x v="1"/>
    <x v="1"/>
    <x v="4"/>
    <s v="Retail"/>
    <x v="0"/>
    <x v="7"/>
    <n v="10"/>
    <n v="2517.06"/>
    <n v="25170.6"/>
    <n v="15289.1"/>
    <n v="9881.5"/>
  </r>
  <r>
    <s v="ORD0036"/>
    <x v="32"/>
    <s v="Aug-2025"/>
    <x v="3"/>
    <x v="5"/>
    <x v="5"/>
    <x v="7"/>
    <s v="Distributor"/>
    <x v="0"/>
    <x v="2"/>
    <n v="9"/>
    <n v="957.52"/>
    <n v="8617.68"/>
    <n v="4366.17"/>
    <n v="4251.51"/>
  </r>
  <r>
    <s v="ORD0037"/>
    <x v="33"/>
    <s v="Aug-2025"/>
    <x v="0"/>
    <x v="0"/>
    <x v="0"/>
    <x v="3"/>
    <s v="Retail"/>
    <x v="2"/>
    <x v="4"/>
    <n v="2"/>
    <n v="11337.41"/>
    <n v="22674.82"/>
    <n v="15091.08"/>
    <n v="7583.74"/>
  </r>
  <r>
    <s v="ORD0038"/>
    <x v="34"/>
    <s v="Apr-2025"/>
    <x v="2"/>
    <x v="7"/>
    <x v="7"/>
    <x v="2"/>
    <s v="Distributor"/>
    <x v="0"/>
    <x v="7"/>
    <n v="6"/>
    <n v="2378.62"/>
    <n v="14271.72"/>
    <n v="9344.52"/>
    <n v="4927.2"/>
  </r>
  <r>
    <s v="ORD0039"/>
    <x v="35"/>
    <s v="Aug-2025"/>
    <x v="0"/>
    <x v="9"/>
    <x v="9"/>
    <x v="3"/>
    <s v="Retail"/>
    <x v="2"/>
    <x v="5"/>
    <n v="11"/>
    <n v="6856.63"/>
    <n v="75422.929999999993"/>
    <n v="44636.02"/>
    <n v="30786.91"/>
  </r>
  <r>
    <s v="ORD0040"/>
    <x v="36"/>
    <s v="Aug-2025"/>
    <x v="3"/>
    <x v="3"/>
    <x v="3"/>
    <x v="1"/>
    <s v="Corporate"/>
    <x v="2"/>
    <x v="4"/>
    <n v="2"/>
    <n v="11421.55"/>
    <n v="22843.1"/>
    <n v="14469.62"/>
    <n v="8373.48"/>
  </r>
  <r>
    <s v="ORD0041"/>
    <x v="37"/>
    <s v="Oct-2025"/>
    <x v="3"/>
    <x v="3"/>
    <x v="3"/>
    <x v="0"/>
    <s v="Retail"/>
    <x v="2"/>
    <x v="6"/>
    <n v="10"/>
    <n v="8768.86"/>
    <n v="87688.6"/>
    <n v="64856.800000000003"/>
    <n v="22831.8"/>
  </r>
  <r>
    <s v="ORD0042"/>
    <x v="38"/>
    <s v="Feb-2025"/>
    <x v="0"/>
    <x v="10"/>
    <x v="10"/>
    <x v="3"/>
    <s v="Retail"/>
    <x v="2"/>
    <x v="5"/>
    <n v="3"/>
    <n v="6308.68"/>
    <n v="18926.04"/>
    <n v="12133.23"/>
    <n v="6792.81"/>
  </r>
  <r>
    <s v="ORD0043"/>
    <x v="39"/>
    <s v="Aug-2025"/>
    <x v="2"/>
    <x v="2"/>
    <x v="2"/>
    <x v="2"/>
    <s v="Distributor"/>
    <x v="0"/>
    <x v="7"/>
    <n v="8"/>
    <n v="2587.66"/>
    <n v="20701.28"/>
    <n v="11507.36"/>
    <n v="9193.92"/>
  </r>
  <r>
    <s v="ORD0044"/>
    <x v="40"/>
    <s v="Jan-2025"/>
    <x v="0"/>
    <x v="0"/>
    <x v="0"/>
    <x v="3"/>
    <s v="Retail"/>
    <x v="1"/>
    <x v="3"/>
    <n v="2"/>
    <n v="12602.93"/>
    <n v="25205.86"/>
    <n v="15333.98"/>
    <n v="9871.8799999999992"/>
  </r>
  <r>
    <s v="ORD0045"/>
    <x v="41"/>
    <s v="Apr-2025"/>
    <x v="1"/>
    <x v="1"/>
    <x v="11"/>
    <x v="3"/>
    <s v="Retail"/>
    <x v="1"/>
    <x v="8"/>
    <n v="9"/>
    <n v="17867.95"/>
    <n v="160811.54999999999"/>
    <n v="121860.45"/>
    <n v="38951.1"/>
  </r>
  <r>
    <s v="ORD0046"/>
    <x v="42"/>
    <s v="Nov-2025"/>
    <x v="0"/>
    <x v="10"/>
    <x v="10"/>
    <x v="7"/>
    <s v="Corporate"/>
    <x v="1"/>
    <x v="8"/>
    <n v="1"/>
    <n v="17229.09"/>
    <n v="17229.09"/>
    <n v="13561.92"/>
    <n v="3667.17"/>
  </r>
  <r>
    <s v="ORD0047"/>
    <x v="43"/>
    <s v="Nov-2025"/>
    <x v="2"/>
    <x v="6"/>
    <x v="6"/>
    <x v="7"/>
    <s v="Retail"/>
    <x v="2"/>
    <x v="6"/>
    <n v="11"/>
    <n v="8610.16"/>
    <n v="94711.76"/>
    <n v="67156.539999999994"/>
    <n v="27555.22"/>
  </r>
  <r>
    <s v="ORD0048"/>
    <x v="44"/>
    <s v="Jan-2025"/>
    <x v="2"/>
    <x v="7"/>
    <x v="7"/>
    <x v="0"/>
    <s v="Corporate"/>
    <x v="0"/>
    <x v="7"/>
    <n v="9"/>
    <n v="2691.77"/>
    <n v="24225.93"/>
    <n v="13519.26"/>
    <n v="10706.67"/>
  </r>
  <r>
    <s v="ORD0049"/>
    <x v="45"/>
    <s v="May-2025"/>
    <x v="3"/>
    <x v="8"/>
    <x v="8"/>
    <x v="1"/>
    <s v="Distributor"/>
    <x v="2"/>
    <x v="6"/>
    <n v="7"/>
    <n v="9679.92"/>
    <n v="67759.44"/>
    <n v="42565.81"/>
    <n v="25193.63"/>
  </r>
  <r>
    <s v="ORD0050"/>
    <x v="46"/>
    <s v="Apr-2025"/>
    <x v="0"/>
    <x v="0"/>
    <x v="0"/>
    <x v="7"/>
    <s v="Distributor"/>
    <x v="0"/>
    <x v="7"/>
    <n v="3"/>
    <n v="2476.7600000000002"/>
    <n v="7430.28"/>
    <n v="4431.3900000000003"/>
    <n v="2998.89"/>
  </r>
  <r>
    <s v="ORD0051"/>
    <x v="47"/>
    <s v="Jan-2025"/>
    <x v="0"/>
    <x v="10"/>
    <x v="10"/>
    <x v="3"/>
    <s v="Distributor"/>
    <x v="0"/>
    <x v="2"/>
    <n v="7"/>
    <n v="859.04"/>
    <n v="6013.28"/>
    <n v="3354.54"/>
    <n v="2658.74"/>
  </r>
  <r>
    <s v="ORD0052"/>
    <x v="48"/>
    <s v="Jul-2025"/>
    <x v="2"/>
    <x v="6"/>
    <x v="6"/>
    <x v="7"/>
    <s v="Distributor"/>
    <x v="2"/>
    <x v="5"/>
    <n v="8"/>
    <n v="6225.72"/>
    <n v="49805.760000000002"/>
    <n v="32824"/>
    <n v="16981.759999999998"/>
  </r>
  <r>
    <s v="ORD0053"/>
    <x v="49"/>
    <s v="Jan-2025"/>
    <x v="2"/>
    <x v="2"/>
    <x v="2"/>
    <x v="6"/>
    <s v="Distributor"/>
    <x v="2"/>
    <x v="5"/>
    <n v="1"/>
    <n v="6986.53"/>
    <n v="6986.53"/>
    <n v="4120.01"/>
    <n v="2866.52"/>
  </r>
  <r>
    <s v="ORD0054"/>
    <x v="50"/>
    <s v="Jul-2025"/>
    <x v="0"/>
    <x v="10"/>
    <x v="10"/>
    <x v="6"/>
    <s v="Retail"/>
    <x v="1"/>
    <x v="8"/>
    <n v="5"/>
    <n v="18097.46"/>
    <n v="90487.3"/>
    <n v="63056.35"/>
    <n v="27430.95"/>
  </r>
  <r>
    <s v="ORD0055"/>
    <x v="51"/>
    <s v="Sep-2025"/>
    <x v="1"/>
    <x v="1"/>
    <x v="1"/>
    <x v="5"/>
    <s v="Corporate"/>
    <x v="1"/>
    <x v="8"/>
    <n v="10"/>
    <n v="16852.5"/>
    <n v="168525"/>
    <n v="123792.4"/>
    <n v="44732.6"/>
  </r>
  <r>
    <s v="ORD0056"/>
    <x v="52"/>
    <s v="Jun-2025"/>
    <x v="0"/>
    <x v="10"/>
    <x v="10"/>
    <x v="2"/>
    <s v="Distributor"/>
    <x v="0"/>
    <x v="7"/>
    <n v="7"/>
    <n v="2611.62"/>
    <n v="18281.34"/>
    <n v="10731.7"/>
    <n v="7549.64"/>
  </r>
  <r>
    <s v="ORD0057"/>
    <x v="53"/>
    <s v="Sep-2025"/>
    <x v="0"/>
    <x v="0"/>
    <x v="0"/>
    <x v="2"/>
    <s v="Corporate"/>
    <x v="0"/>
    <x v="7"/>
    <n v="11"/>
    <n v="2485.9699999999998"/>
    <n v="27345.67"/>
    <n v="16831.759999999998"/>
    <n v="10513.91"/>
  </r>
  <r>
    <s v="ORD0058"/>
    <x v="51"/>
    <s v="Sep-2025"/>
    <x v="0"/>
    <x v="9"/>
    <x v="9"/>
    <x v="0"/>
    <s v="Distributor"/>
    <x v="0"/>
    <x v="7"/>
    <n v="11"/>
    <n v="2683.53"/>
    <n v="29518.83"/>
    <n v="16735.73"/>
    <n v="12783.1"/>
  </r>
  <r>
    <s v="ORD0059"/>
    <x v="54"/>
    <s v="Feb-2025"/>
    <x v="1"/>
    <x v="1"/>
    <x v="1"/>
    <x v="2"/>
    <s v="Distributor"/>
    <x v="2"/>
    <x v="5"/>
    <n v="7"/>
    <n v="6859.93"/>
    <n v="48019.51"/>
    <n v="29572.06"/>
    <n v="18447.45"/>
  </r>
  <r>
    <s v="ORD0060"/>
    <x v="43"/>
    <s v="Nov-2025"/>
    <x v="1"/>
    <x v="4"/>
    <x v="4"/>
    <x v="7"/>
    <s v="Retail"/>
    <x v="2"/>
    <x v="5"/>
    <n v="8"/>
    <n v="6822.76"/>
    <n v="54582.080000000002"/>
    <n v="34434.160000000003"/>
    <n v="20147.919999999998"/>
  </r>
  <r>
    <s v="ORD0061"/>
    <x v="55"/>
    <s v="Sep-2025"/>
    <x v="1"/>
    <x v="4"/>
    <x v="4"/>
    <x v="3"/>
    <s v="Distributor"/>
    <x v="0"/>
    <x v="2"/>
    <n v="5"/>
    <n v="946.24"/>
    <n v="4731.2"/>
    <n v="2586.5500000000002"/>
    <n v="2144.65"/>
  </r>
  <r>
    <s v="ORD0062"/>
    <x v="56"/>
    <s v="May-2025"/>
    <x v="0"/>
    <x v="10"/>
    <x v="10"/>
    <x v="4"/>
    <s v="Retail"/>
    <x v="2"/>
    <x v="5"/>
    <n v="8"/>
    <n v="6932.7"/>
    <n v="55461.599999999999"/>
    <n v="32885.360000000001"/>
    <n v="22576.240000000002"/>
  </r>
  <r>
    <s v="ORD0063"/>
    <x v="57"/>
    <s v="Jan-2025"/>
    <x v="0"/>
    <x v="10"/>
    <x v="10"/>
    <x v="2"/>
    <s v="Retail"/>
    <x v="2"/>
    <x v="6"/>
    <n v="12"/>
    <n v="9305.4"/>
    <n v="111664.8"/>
    <n v="75301.320000000007"/>
    <n v="36363.480000000003"/>
  </r>
  <r>
    <s v="ORD0064"/>
    <x v="3"/>
    <s v="Mar-2025"/>
    <x v="1"/>
    <x v="1"/>
    <x v="11"/>
    <x v="0"/>
    <s v="Retail"/>
    <x v="2"/>
    <x v="6"/>
    <n v="2"/>
    <n v="9304.4500000000007"/>
    <n v="18608.900000000001"/>
    <n v="12617.88"/>
    <n v="5991.02"/>
  </r>
  <r>
    <s v="ORD0065"/>
    <x v="58"/>
    <s v="May-2025"/>
    <x v="2"/>
    <x v="2"/>
    <x v="2"/>
    <x v="4"/>
    <s v="Retail"/>
    <x v="1"/>
    <x v="3"/>
    <n v="4"/>
    <n v="11721.01"/>
    <n v="46884.04"/>
    <n v="30674.720000000001"/>
    <n v="16209.32"/>
  </r>
  <r>
    <s v="ORD0066"/>
    <x v="59"/>
    <s v="Aug-2025"/>
    <x v="1"/>
    <x v="1"/>
    <x v="11"/>
    <x v="4"/>
    <s v="Corporate"/>
    <x v="0"/>
    <x v="2"/>
    <n v="5"/>
    <n v="889.22"/>
    <n v="4446.1000000000004"/>
    <n v="2604.15"/>
    <n v="1841.95"/>
  </r>
  <r>
    <s v="ORD0067"/>
    <x v="60"/>
    <s v="Apr-2025"/>
    <x v="1"/>
    <x v="4"/>
    <x v="4"/>
    <x v="3"/>
    <s v="Corporate"/>
    <x v="0"/>
    <x v="7"/>
    <n v="5"/>
    <n v="2682.28"/>
    <n v="13411.4"/>
    <n v="7224.45"/>
    <n v="6186.95"/>
  </r>
  <r>
    <s v="ORD0068"/>
    <x v="61"/>
    <s v="Nov-2025"/>
    <x v="2"/>
    <x v="7"/>
    <x v="7"/>
    <x v="6"/>
    <s v="Corporate"/>
    <x v="2"/>
    <x v="4"/>
    <n v="7"/>
    <n v="10270.98"/>
    <n v="71896.86"/>
    <n v="50559.11"/>
    <n v="21337.75"/>
  </r>
  <r>
    <s v="ORD0069"/>
    <x v="62"/>
    <s v="Sep-2025"/>
    <x v="3"/>
    <x v="3"/>
    <x v="3"/>
    <x v="5"/>
    <s v="Distributor"/>
    <x v="1"/>
    <x v="8"/>
    <n v="6"/>
    <n v="17755.490000000002"/>
    <n v="106532.94"/>
    <n v="75043.08"/>
    <n v="31489.86"/>
  </r>
  <r>
    <s v="ORD0070"/>
    <x v="63"/>
    <s v="Jun-2025"/>
    <x v="1"/>
    <x v="1"/>
    <x v="11"/>
    <x v="6"/>
    <s v="Retail"/>
    <x v="1"/>
    <x v="1"/>
    <n v="12"/>
    <n v="48451.43"/>
    <n v="581417.16"/>
    <n v="503803.44"/>
    <n v="77613.72"/>
  </r>
  <r>
    <s v="ORD0071"/>
    <x v="64"/>
    <s v="May-2025"/>
    <x v="2"/>
    <x v="7"/>
    <x v="7"/>
    <x v="1"/>
    <s v="Retail"/>
    <x v="0"/>
    <x v="0"/>
    <n v="6"/>
    <n v="1282.57"/>
    <n v="7695.42"/>
    <n v="4307.3999999999996"/>
    <n v="3388.02"/>
  </r>
  <r>
    <s v="ORD0072"/>
    <x v="65"/>
    <s v="Jan-2025"/>
    <x v="2"/>
    <x v="7"/>
    <x v="7"/>
    <x v="0"/>
    <s v="Distributor"/>
    <x v="2"/>
    <x v="6"/>
    <n v="3"/>
    <n v="8706.59"/>
    <n v="26119.77"/>
    <n v="18164.25"/>
    <n v="7955.52"/>
  </r>
  <r>
    <s v="ORD0073"/>
    <x v="66"/>
    <s v="Sep-2025"/>
    <x v="2"/>
    <x v="7"/>
    <x v="7"/>
    <x v="6"/>
    <s v="Retail"/>
    <x v="1"/>
    <x v="3"/>
    <n v="7"/>
    <n v="12804.16"/>
    <n v="89629.119999999995"/>
    <n v="58467.92"/>
    <n v="31161.200000000001"/>
  </r>
  <r>
    <s v="ORD0074"/>
    <x v="67"/>
    <s v="Oct-2025"/>
    <x v="0"/>
    <x v="9"/>
    <x v="9"/>
    <x v="3"/>
    <s v="Corporate"/>
    <x v="0"/>
    <x v="2"/>
    <n v="8"/>
    <n v="920.01"/>
    <n v="7360.08"/>
    <n v="3855.44"/>
    <n v="3504.64"/>
  </r>
  <r>
    <s v="ORD0075"/>
    <x v="68"/>
    <s v="May-2025"/>
    <x v="3"/>
    <x v="8"/>
    <x v="8"/>
    <x v="2"/>
    <s v="Corporate"/>
    <x v="2"/>
    <x v="4"/>
    <n v="6"/>
    <n v="10694.88"/>
    <n v="64169.279999999999"/>
    <n v="44486.16"/>
    <n v="19683.12"/>
  </r>
  <r>
    <s v="ORD0076"/>
    <x v="69"/>
    <s v="Dec-2025"/>
    <x v="2"/>
    <x v="2"/>
    <x v="2"/>
    <x v="7"/>
    <s v="Retail"/>
    <x v="2"/>
    <x v="6"/>
    <n v="11"/>
    <n v="8902.4"/>
    <n v="97926.399999999994"/>
    <n v="65931.25"/>
    <n v="31995.15"/>
  </r>
  <r>
    <s v="ORD0077"/>
    <x v="70"/>
    <s v="Mar-2025"/>
    <x v="1"/>
    <x v="1"/>
    <x v="1"/>
    <x v="4"/>
    <s v="Distributor"/>
    <x v="1"/>
    <x v="8"/>
    <n v="6"/>
    <n v="19430.48"/>
    <n v="116582.88"/>
    <n v="77609.7"/>
    <n v="38973.18"/>
  </r>
  <r>
    <s v="ORD0078"/>
    <x v="71"/>
    <s v="Mar-2025"/>
    <x v="0"/>
    <x v="10"/>
    <x v="10"/>
    <x v="3"/>
    <s v="Corporate"/>
    <x v="2"/>
    <x v="6"/>
    <n v="2"/>
    <n v="8801.0400000000009"/>
    <n v="17602.080000000002"/>
    <n v="12236.7"/>
    <n v="5365.38"/>
  </r>
  <r>
    <s v="ORD0079"/>
    <x v="72"/>
    <s v="Oct-2025"/>
    <x v="0"/>
    <x v="10"/>
    <x v="10"/>
    <x v="1"/>
    <s v="Retail"/>
    <x v="2"/>
    <x v="6"/>
    <n v="9"/>
    <n v="8653.51"/>
    <n v="77881.59"/>
    <n v="54517.95"/>
    <n v="23363.64"/>
  </r>
  <r>
    <s v="ORD0080"/>
    <x v="73"/>
    <s v="Feb-2025"/>
    <x v="3"/>
    <x v="3"/>
    <x v="3"/>
    <x v="6"/>
    <s v="Corporate"/>
    <x v="0"/>
    <x v="7"/>
    <n v="9"/>
    <n v="2561.11"/>
    <n v="23049.99"/>
    <n v="13989.87"/>
    <n v="9060.1200000000008"/>
  </r>
  <r>
    <s v="ORD0081"/>
    <x v="46"/>
    <s v="Apr-2025"/>
    <x v="1"/>
    <x v="1"/>
    <x v="11"/>
    <x v="7"/>
    <s v="Retail"/>
    <x v="2"/>
    <x v="6"/>
    <n v="8"/>
    <n v="8952.98"/>
    <n v="71623.839999999997"/>
    <n v="48667.6"/>
    <n v="22956.240000000002"/>
  </r>
  <r>
    <s v="ORD0082"/>
    <x v="74"/>
    <s v="Jan-2025"/>
    <x v="0"/>
    <x v="10"/>
    <x v="10"/>
    <x v="1"/>
    <s v="Distributor"/>
    <x v="2"/>
    <x v="6"/>
    <n v="8"/>
    <n v="8370.24"/>
    <n v="66961.919999999998"/>
    <n v="49061.919999999998"/>
    <n v="17900"/>
  </r>
  <r>
    <s v="ORD0083"/>
    <x v="19"/>
    <s v="Sep-2025"/>
    <x v="3"/>
    <x v="3"/>
    <x v="3"/>
    <x v="7"/>
    <s v="Corporate"/>
    <x v="1"/>
    <x v="1"/>
    <n v="3"/>
    <n v="52434.45"/>
    <n v="157303.35"/>
    <n v="125239.53"/>
    <n v="32063.82"/>
  </r>
  <r>
    <s v="ORD0084"/>
    <x v="75"/>
    <s v="Dec-2025"/>
    <x v="3"/>
    <x v="8"/>
    <x v="8"/>
    <x v="0"/>
    <s v="Corporate"/>
    <x v="1"/>
    <x v="1"/>
    <n v="10"/>
    <n v="55535.38"/>
    <n v="555353.80000000005"/>
    <n v="415965.7"/>
    <n v="139388.1"/>
  </r>
  <r>
    <s v="ORD0085"/>
    <x v="52"/>
    <s v="Jun-2025"/>
    <x v="0"/>
    <x v="9"/>
    <x v="9"/>
    <x v="5"/>
    <s v="Distributor"/>
    <x v="0"/>
    <x v="2"/>
    <n v="12"/>
    <n v="940.12"/>
    <n v="11281.44"/>
    <n v="5759.64"/>
    <n v="5521.8"/>
  </r>
  <r>
    <s v="ORD0086"/>
    <x v="76"/>
    <s v="Jun-2025"/>
    <x v="0"/>
    <x v="0"/>
    <x v="0"/>
    <x v="5"/>
    <s v="Corporate"/>
    <x v="0"/>
    <x v="0"/>
    <n v="1"/>
    <n v="1212.75"/>
    <n v="1212.75"/>
    <n v="734.75"/>
    <n v="478"/>
  </r>
  <r>
    <s v="ORD0087"/>
    <x v="77"/>
    <s v="May-2025"/>
    <x v="2"/>
    <x v="6"/>
    <x v="6"/>
    <x v="7"/>
    <s v="Retail"/>
    <x v="0"/>
    <x v="0"/>
    <n v="9"/>
    <n v="1160.47"/>
    <n v="10444.23"/>
    <n v="6590.16"/>
    <n v="3854.07"/>
  </r>
  <r>
    <s v="ORD0088"/>
    <x v="78"/>
    <s v="Dec-2025"/>
    <x v="2"/>
    <x v="7"/>
    <x v="7"/>
    <x v="0"/>
    <s v="Corporate"/>
    <x v="2"/>
    <x v="6"/>
    <n v="11"/>
    <n v="8937.02"/>
    <n v="98307.22"/>
    <n v="66544.5"/>
    <n v="31762.720000000001"/>
  </r>
  <r>
    <s v="ORD0089"/>
    <x v="79"/>
    <s v="Dec-2025"/>
    <x v="3"/>
    <x v="3"/>
    <x v="3"/>
    <x v="7"/>
    <s v="Retail"/>
    <x v="1"/>
    <x v="3"/>
    <n v="6"/>
    <n v="12453"/>
    <n v="74718"/>
    <n v="47339.16"/>
    <n v="27378.84"/>
  </r>
  <r>
    <s v="ORD0090"/>
    <x v="25"/>
    <s v="Jul-2025"/>
    <x v="0"/>
    <x v="10"/>
    <x v="10"/>
    <x v="5"/>
    <s v="Distributor"/>
    <x v="0"/>
    <x v="0"/>
    <n v="4"/>
    <n v="1205.23"/>
    <n v="4820.92"/>
    <n v="2716.12"/>
    <n v="2104.8000000000002"/>
  </r>
  <r>
    <s v="ORD0091"/>
    <x v="80"/>
    <s v="Apr-2025"/>
    <x v="0"/>
    <x v="0"/>
    <x v="0"/>
    <x v="7"/>
    <s v="Retail"/>
    <x v="2"/>
    <x v="5"/>
    <n v="10"/>
    <n v="6528.37"/>
    <n v="65283.7"/>
    <n v="40686.699999999997"/>
    <n v="24597"/>
  </r>
  <r>
    <s v="ORD0092"/>
    <x v="20"/>
    <s v="Apr-2025"/>
    <x v="3"/>
    <x v="3"/>
    <x v="3"/>
    <x v="0"/>
    <s v="Distributor"/>
    <x v="1"/>
    <x v="8"/>
    <n v="1"/>
    <n v="17314.96"/>
    <n v="17314.96"/>
    <n v="13616.36"/>
    <n v="3698.6"/>
  </r>
  <r>
    <s v="ORD0093"/>
    <x v="81"/>
    <s v="Mar-2025"/>
    <x v="3"/>
    <x v="8"/>
    <x v="8"/>
    <x v="0"/>
    <s v="Corporate"/>
    <x v="2"/>
    <x v="4"/>
    <n v="12"/>
    <n v="11687.91"/>
    <n v="140254.92000000001"/>
    <n v="93322.44"/>
    <n v="46932.480000000003"/>
  </r>
  <r>
    <s v="ORD0094"/>
    <x v="82"/>
    <s v="Feb-2025"/>
    <x v="0"/>
    <x v="0"/>
    <x v="0"/>
    <x v="7"/>
    <s v="Corporate"/>
    <x v="0"/>
    <x v="7"/>
    <n v="12"/>
    <n v="2500.36"/>
    <n v="30004.32"/>
    <n v="17661.240000000002"/>
    <n v="12343.08"/>
  </r>
  <r>
    <s v="ORD0095"/>
    <x v="83"/>
    <s v="Jul-2025"/>
    <x v="2"/>
    <x v="2"/>
    <x v="2"/>
    <x v="4"/>
    <s v="Corporate"/>
    <x v="1"/>
    <x v="1"/>
    <n v="2"/>
    <n v="50542.49"/>
    <n v="101084.98"/>
    <n v="80782.02"/>
    <n v="20302.96"/>
  </r>
  <r>
    <s v="ORD0096"/>
    <x v="84"/>
    <s v="Mar-2025"/>
    <x v="0"/>
    <x v="0"/>
    <x v="0"/>
    <x v="6"/>
    <s v="Retail"/>
    <x v="2"/>
    <x v="5"/>
    <n v="1"/>
    <n v="6732.63"/>
    <n v="6732.63"/>
    <n v="4072.2"/>
    <n v="2660.43"/>
  </r>
  <r>
    <s v="ORD0097"/>
    <x v="85"/>
    <s v="Oct-2025"/>
    <x v="3"/>
    <x v="8"/>
    <x v="8"/>
    <x v="6"/>
    <s v="Retail"/>
    <x v="0"/>
    <x v="2"/>
    <n v="1"/>
    <n v="922.27"/>
    <n v="922.27"/>
    <n v="487.4"/>
    <n v="434.87"/>
  </r>
  <r>
    <s v="ORD0098"/>
    <x v="86"/>
    <s v="Nov-2025"/>
    <x v="3"/>
    <x v="8"/>
    <x v="8"/>
    <x v="1"/>
    <s v="Corporate"/>
    <x v="2"/>
    <x v="5"/>
    <n v="1"/>
    <n v="6295.59"/>
    <n v="6295.59"/>
    <n v="4303.8599999999997"/>
    <n v="1991.73"/>
  </r>
  <r>
    <s v="ORD0099"/>
    <x v="87"/>
    <s v="Nov-2025"/>
    <x v="2"/>
    <x v="2"/>
    <x v="2"/>
    <x v="5"/>
    <s v="Retail"/>
    <x v="0"/>
    <x v="0"/>
    <n v="5"/>
    <n v="1250.3599999999999"/>
    <n v="6251.8"/>
    <n v="3566.35"/>
    <n v="2685.45"/>
  </r>
  <r>
    <s v="ORD0100"/>
    <x v="88"/>
    <s v="May-2025"/>
    <x v="2"/>
    <x v="7"/>
    <x v="7"/>
    <x v="3"/>
    <s v="Corporate"/>
    <x v="1"/>
    <x v="1"/>
    <n v="8"/>
    <n v="53941.46"/>
    <n v="431531.68"/>
    <n v="326876.40000000002"/>
    <n v="104655.28"/>
  </r>
  <r>
    <s v="ORD0101"/>
    <x v="89"/>
    <s v="Jul-2025"/>
    <x v="2"/>
    <x v="2"/>
    <x v="2"/>
    <x v="4"/>
    <s v="Corporate"/>
    <x v="2"/>
    <x v="5"/>
    <n v="1"/>
    <n v="6827.5"/>
    <n v="6827.5"/>
    <n v="4300.16"/>
    <n v="2527.34"/>
  </r>
  <r>
    <s v="ORD0102"/>
    <x v="18"/>
    <s v="Dec-2025"/>
    <x v="0"/>
    <x v="9"/>
    <x v="9"/>
    <x v="7"/>
    <s v="Retail"/>
    <x v="2"/>
    <x v="4"/>
    <n v="6"/>
    <n v="11523.32"/>
    <n v="69139.92"/>
    <n v="46036.44"/>
    <n v="23103.48"/>
  </r>
  <r>
    <s v="ORD0103"/>
    <x v="90"/>
    <s v="Sep-2025"/>
    <x v="0"/>
    <x v="0"/>
    <x v="0"/>
    <x v="2"/>
    <s v="Corporate"/>
    <x v="2"/>
    <x v="5"/>
    <n v="11"/>
    <n v="6078.02"/>
    <n v="66858.22"/>
    <n v="46442.99"/>
    <n v="20415.23"/>
  </r>
  <r>
    <s v="ORD0104"/>
    <x v="91"/>
    <s v="Jun-2025"/>
    <x v="0"/>
    <x v="0"/>
    <x v="0"/>
    <x v="3"/>
    <s v="Corporate"/>
    <x v="2"/>
    <x v="6"/>
    <n v="2"/>
    <n v="8651.26"/>
    <n v="17302.52"/>
    <n v="12302.12"/>
    <n v="5000.3999999999996"/>
  </r>
  <r>
    <s v="ORD0105"/>
    <x v="92"/>
    <s v="Dec-2025"/>
    <x v="3"/>
    <x v="8"/>
    <x v="8"/>
    <x v="7"/>
    <s v="Corporate"/>
    <x v="2"/>
    <x v="4"/>
    <n v="10"/>
    <n v="11700.58"/>
    <n v="117005.8"/>
    <n v="73985.5"/>
    <n v="43020.3"/>
  </r>
  <r>
    <s v="ORD0106"/>
    <x v="93"/>
    <s v="Oct-2025"/>
    <x v="1"/>
    <x v="1"/>
    <x v="11"/>
    <x v="5"/>
    <s v="Retail"/>
    <x v="0"/>
    <x v="2"/>
    <n v="6"/>
    <n v="871.3"/>
    <n v="5227.8"/>
    <n v="2928.12"/>
    <n v="2299.6799999999998"/>
  </r>
  <r>
    <s v="ORD0107"/>
    <x v="94"/>
    <s v="Aug-2025"/>
    <x v="0"/>
    <x v="10"/>
    <x v="10"/>
    <x v="7"/>
    <s v="Corporate"/>
    <x v="1"/>
    <x v="8"/>
    <n v="10"/>
    <n v="17248.28"/>
    <n v="172482.8"/>
    <n v="124342.5"/>
    <n v="48140.3"/>
  </r>
  <r>
    <s v="ORD0108"/>
    <x v="95"/>
    <s v="May-2025"/>
    <x v="0"/>
    <x v="9"/>
    <x v="9"/>
    <x v="7"/>
    <s v="Distributor"/>
    <x v="1"/>
    <x v="3"/>
    <n v="8"/>
    <n v="12943.72"/>
    <n v="103549.75999999999"/>
    <n v="61454.96"/>
    <n v="42094.8"/>
  </r>
  <r>
    <s v="ORD0109"/>
    <x v="96"/>
    <s v="Sep-2025"/>
    <x v="0"/>
    <x v="0"/>
    <x v="0"/>
    <x v="6"/>
    <s v="Corporate"/>
    <x v="2"/>
    <x v="5"/>
    <n v="2"/>
    <n v="6094.13"/>
    <n v="12188.26"/>
    <n v="8484.42"/>
    <n v="3703.84"/>
  </r>
  <r>
    <s v="ORD0110"/>
    <x v="97"/>
    <s v="Oct-2025"/>
    <x v="0"/>
    <x v="10"/>
    <x v="10"/>
    <x v="6"/>
    <s v="Distributor"/>
    <x v="1"/>
    <x v="8"/>
    <n v="10"/>
    <n v="17441.86"/>
    <n v="174418.6"/>
    <n v="133611.1"/>
    <n v="40807.5"/>
  </r>
  <r>
    <s v="ORD0111"/>
    <x v="98"/>
    <s v="Jan-2025"/>
    <x v="1"/>
    <x v="4"/>
    <x v="4"/>
    <x v="6"/>
    <s v="Corporate"/>
    <x v="1"/>
    <x v="8"/>
    <n v="6"/>
    <n v="17121.7"/>
    <n v="102730.2"/>
    <n v="75691.02"/>
    <n v="27039.18"/>
  </r>
  <r>
    <s v="ORD0112"/>
    <x v="99"/>
    <s v="May-2025"/>
    <x v="1"/>
    <x v="4"/>
    <x v="4"/>
    <x v="7"/>
    <s v="Corporate"/>
    <x v="2"/>
    <x v="4"/>
    <n v="11"/>
    <n v="10843.49"/>
    <n v="119278.39"/>
    <n v="84611.67"/>
    <n v="34666.720000000001"/>
  </r>
  <r>
    <s v="ORD0113"/>
    <x v="8"/>
    <s v="Feb-2025"/>
    <x v="0"/>
    <x v="10"/>
    <x v="10"/>
    <x v="4"/>
    <s v="Distributor"/>
    <x v="2"/>
    <x v="5"/>
    <n v="7"/>
    <n v="6143.85"/>
    <n v="43006.95"/>
    <n v="29092.14"/>
    <n v="13914.81"/>
  </r>
  <r>
    <s v="ORD0114"/>
    <x v="67"/>
    <s v="Oct-2025"/>
    <x v="0"/>
    <x v="9"/>
    <x v="9"/>
    <x v="3"/>
    <s v="Distributor"/>
    <x v="1"/>
    <x v="8"/>
    <n v="12"/>
    <n v="17472.150000000001"/>
    <n v="209665.8"/>
    <n v="163616.51999999999"/>
    <n v="46049.279999999999"/>
  </r>
  <r>
    <s v="ORD0115"/>
    <x v="79"/>
    <s v="Dec-2025"/>
    <x v="2"/>
    <x v="2"/>
    <x v="2"/>
    <x v="0"/>
    <s v="Retail"/>
    <x v="0"/>
    <x v="7"/>
    <n v="6"/>
    <n v="2480.2800000000002"/>
    <n v="14881.68"/>
    <n v="8566.3799999999992"/>
    <n v="6315.3"/>
  </r>
  <r>
    <s v="ORD0116"/>
    <x v="100"/>
    <s v="Jul-2025"/>
    <x v="0"/>
    <x v="0"/>
    <x v="0"/>
    <x v="1"/>
    <s v="Corporate"/>
    <x v="1"/>
    <x v="8"/>
    <n v="3"/>
    <n v="17884.14"/>
    <n v="53652.42"/>
    <n v="40249.440000000002"/>
    <n v="13402.98"/>
  </r>
  <r>
    <s v="ORD0117"/>
    <x v="101"/>
    <s v="Jul-2025"/>
    <x v="2"/>
    <x v="2"/>
    <x v="2"/>
    <x v="2"/>
    <s v="Corporate"/>
    <x v="1"/>
    <x v="1"/>
    <n v="9"/>
    <n v="49471.48"/>
    <n v="445243.32"/>
    <n v="380308.68"/>
    <n v="64934.64"/>
  </r>
  <r>
    <s v="ORD0118"/>
    <x v="102"/>
    <s v="Jul-2025"/>
    <x v="1"/>
    <x v="4"/>
    <x v="4"/>
    <x v="6"/>
    <s v="Distributor"/>
    <x v="0"/>
    <x v="0"/>
    <n v="3"/>
    <n v="1178.6300000000001"/>
    <n v="3535.89"/>
    <n v="2028.99"/>
    <n v="1506.9"/>
  </r>
  <r>
    <s v="ORD0119"/>
    <x v="103"/>
    <s v="Mar-2025"/>
    <x v="1"/>
    <x v="1"/>
    <x v="1"/>
    <x v="1"/>
    <s v="Retail"/>
    <x v="1"/>
    <x v="8"/>
    <n v="3"/>
    <n v="19000.689999999999"/>
    <n v="57002.07"/>
    <n v="37219.65"/>
    <n v="19782.419999999998"/>
  </r>
  <r>
    <s v="ORD0120"/>
    <x v="104"/>
    <s v="Sep-2025"/>
    <x v="2"/>
    <x v="7"/>
    <x v="7"/>
    <x v="1"/>
    <s v="Corporate"/>
    <x v="0"/>
    <x v="7"/>
    <n v="12"/>
    <n v="2634.21"/>
    <n v="31610.52"/>
    <n v="17388.48"/>
    <n v="14222.04"/>
  </r>
  <r>
    <s v="ORD0121"/>
    <x v="41"/>
    <s v="Apr-2025"/>
    <x v="3"/>
    <x v="5"/>
    <x v="5"/>
    <x v="7"/>
    <s v="Retail"/>
    <x v="1"/>
    <x v="3"/>
    <n v="4"/>
    <n v="11235.08"/>
    <n v="44940.32"/>
    <n v="33403.360000000001"/>
    <n v="11536.96"/>
  </r>
  <r>
    <s v="ORD0122"/>
    <x v="105"/>
    <s v="Mar-2025"/>
    <x v="3"/>
    <x v="3"/>
    <x v="3"/>
    <x v="3"/>
    <s v="Corporate"/>
    <x v="1"/>
    <x v="3"/>
    <n v="4"/>
    <n v="11233.98"/>
    <n v="44935.92"/>
    <n v="32199.48"/>
    <n v="12736.44"/>
  </r>
  <r>
    <s v="ORD0123"/>
    <x v="106"/>
    <s v="Dec-2025"/>
    <x v="1"/>
    <x v="4"/>
    <x v="4"/>
    <x v="6"/>
    <s v="Corporate"/>
    <x v="2"/>
    <x v="6"/>
    <n v="8"/>
    <n v="9112.57"/>
    <n v="72900.56"/>
    <n v="50230.16"/>
    <n v="22670.400000000001"/>
  </r>
  <r>
    <s v="ORD0124"/>
    <x v="107"/>
    <s v="Jun-2025"/>
    <x v="3"/>
    <x v="3"/>
    <x v="3"/>
    <x v="7"/>
    <s v="Retail"/>
    <x v="2"/>
    <x v="6"/>
    <n v="6"/>
    <n v="8973.17"/>
    <n v="53839.02"/>
    <n v="36970.68"/>
    <n v="16868.34"/>
  </r>
  <r>
    <s v="ORD0125"/>
    <x v="74"/>
    <s v="Jan-2025"/>
    <x v="1"/>
    <x v="4"/>
    <x v="4"/>
    <x v="4"/>
    <s v="Retail"/>
    <x v="1"/>
    <x v="8"/>
    <n v="10"/>
    <n v="18845.93"/>
    <n v="188459.3"/>
    <n v="129457.8"/>
    <n v="59001.5"/>
  </r>
  <r>
    <s v="ORD0126"/>
    <x v="108"/>
    <s v="Apr-2025"/>
    <x v="3"/>
    <x v="3"/>
    <x v="3"/>
    <x v="3"/>
    <s v="Corporate"/>
    <x v="1"/>
    <x v="8"/>
    <n v="7"/>
    <n v="17726.400000000001"/>
    <n v="124084.8"/>
    <n v="93750.79"/>
    <n v="30334.01"/>
  </r>
  <r>
    <s v="ORD0127"/>
    <x v="51"/>
    <s v="Sep-2025"/>
    <x v="1"/>
    <x v="1"/>
    <x v="1"/>
    <x v="2"/>
    <s v="Corporate"/>
    <x v="0"/>
    <x v="2"/>
    <n v="12"/>
    <n v="906.05"/>
    <n v="10872.6"/>
    <n v="5732.52"/>
    <n v="5140.08"/>
  </r>
  <r>
    <s v="ORD0128"/>
    <x v="51"/>
    <s v="Sep-2025"/>
    <x v="3"/>
    <x v="5"/>
    <x v="5"/>
    <x v="2"/>
    <s v="Corporate"/>
    <x v="1"/>
    <x v="3"/>
    <n v="12"/>
    <n v="12406.59"/>
    <n v="148879.07999999999"/>
    <n v="92252.04"/>
    <n v="56627.040000000001"/>
  </r>
  <r>
    <s v="ORD0129"/>
    <x v="109"/>
    <s v="Mar-2025"/>
    <x v="3"/>
    <x v="3"/>
    <x v="3"/>
    <x v="2"/>
    <s v="Distributor"/>
    <x v="0"/>
    <x v="0"/>
    <n v="2"/>
    <n v="1265.95"/>
    <n v="2531.9"/>
    <n v="1415.46"/>
    <n v="1116.44"/>
  </r>
  <r>
    <s v="ORD0130"/>
    <x v="64"/>
    <s v="May-2025"/>
    <x v="0"/>
    <x v="0"/>
    <x v="0"/>
    <x v="5"/>
    <s v="Retail"/>
    <x v="1"/>
    <x v="8"/>
    <n v="9"/>
    <n v="19343.689999999999"/>
    <n v="174093.21"/>
    <n v="116767.26"/>
    <n v="57325.95"/>
  </r>
  <r>
    <s v="ORD0131"/>
    <x v="110"/>
    <s v="Oct-2025"/>
    <x v="2"/>
    <x v="6"/>
    <x v="6"/>
    <x v="7"/>
    <s v="Retail"/>
    <x v="2"/>
    <x v="5"/>
    <n v="4"/>
    <n v="6222.54"/>
    <n v="24890.16"/>
    <n v="16230.88"/>
    <n v="8659.2800000000007"/>
  </r>
  <r>
    <s v="ORD0132"/>
    <x v="77"/>
    <s v="May-2025"/>
    <x v="2"/>
    <x v="2"/>
    <x v="2"/>
    <x v="2"/>
    <s v="Retail"/>
    <x v="1"/>
    <x v="3"/>
    <n v="1"/>
    <n v="12305.37"/>
    <n v="12305.37"/>
    <n v="7887.82"/>
    <n v="4417.55"/>
  </r>
  <r>
    <s v="ORD0133"/>
    <x v="32"/>
    <s v="Aug-2025"/>
    <x v="1"/>
    <x v="1"/>
    <x v="11"/>
    <x v="1"/>
    <s v="Distributor"/>
    <x v="2"/>
    <x v="4"/>
    <n v="7"/>
    <n v="11864.32"/>
    <n v="83050.240000000005"/>
    <n v="53611.53"/>
    <n v="29438.71"/>
  </r>
  <r>
    <s v="ORD0134"/>
    <x v="111"/>
    <s v="Jul-2025"/>
    <x v="2"/>
    <x v="7"/>
    <x v="7"/>
    <x v="4"/>
    <s v="Corporate"/>
    <x v="1"/>
    <x v="3"/>
    <n v="12"/>
    <n v="12884.36"/>
    <n v="154612.32"/>
    <n v="94045.32"/>
    <n v="60567"/>
  </r>
  <r>
    <s v="ORD0135"/>
    <x v="28"/>
    <s v="Sep-2025"/>
    <x v="2"/>
    <x v="2"/>
    <x v="2"/>
    <x v="6"/>
    <s v="Distributor"/>
    <x v="1"/>
    <x v="3"/>
    <n v="1"/>
    <n v="11558.95"/>
    <n v="11558.95"/>
    <n v="7832.78"/>
    <n v="3726.17"/>
  </r>
  <r>
    <s v="ORD0136"/>
    <x v="86"/>
    <s v="Nov-2025"/>
    <x v="3"/>
    <x v="3"/>
    <x v="3"/>
    <x v="6"/>
    <s v="Corporate"/>
    <x v="1"/>
    <x v="8"/>
    <n v="4"/>
    <n v="18393.8"/>
    <n v="73575.199999999997"/>
    <n v="49637.04"/>
    <n v="23938.16"/>
  </r>
  <r>
    <s v="ORD0137"/>
    <x v="47"/>
    <s v="Jan-2025"/>
    <x v="1"/>
    <x v="4"/>
    <x v="4"/>
    <x v="6"/>
    <s v="Retail"/>
    <x v="1"/>
    <x v="3"/>
    <n v="6"/>
    <n v="12121.4"/>
    <n v="72728.399999999994"/>
    <n v="47583.54"/>
    <n v="25144.86"/>
  </r>
  <r>
    <s v="ORD0138"/>
    <x v="112"/>
    <s v="Jun-2025"/>
    <x v="0"/>
    <x v="10"/>
    <x v="10"/>
    <x v="6"/>
    <s v="Distributor"/>
    <x v="2"/>
    <x v="5"/>
    <n v="3"/>
    <n v="6058.76"/>
    <n v="18176.28"/>
    <n v="12979.89"/>
    <n v="5196.3900000000003"/>
  </r>
  <r>
    <s v="ORD0139"/>
    <x v="113"/>
    <s v="Dec-2025"/>
    <x v="0"/>
    <x v="0"/>
    <x v="0"/>
    <x v="3"/>
    <s v="Corporate"/>
    <x v="0"/>
    <x v="0"/>
    <n v="11"/>
    <n v="1256.79"/>
    <n v="13824.69"/>
    <n v="7624.54"/>
    <n v="6200.15"/>
  </r>
  <r>
    <s v="ORD0140"/>
    <x v="114"/>
    <s v="May-2025"/>
    <x v="1"/>
    <x v="1"/>
    <x v="1"/>
    <x v="6"/>
    <s v="Distributor"/>
    <x v="0"/>
    <x v="7"/>
    <n v="8"/>
    <n v="2550.71"/>
    <n v="20405.68"/>
    <n v="12021.12"/>
    <n v="8384.56"/>
  </r>
  <r>
    <s v="ORD0141"/>
    <x v="11"/>
    <s v="Sep-2025"/>
    <x v="0"/>
    <x v="10"/>
    <x v="10"/>
    <x v="0"/>
    <s v="Corporate"/>
    <x v="1"/>
    <x v="3"/>
    <n v="1"/>
    <n v="11890.78"/>
    <n v="11890.78"/>
    <n v="7790.14"/>
    <n v="4100.6400000000003"/>
  </r>
  <r>
    <s v="ORD0142"/>
    <x v="40"/>
    <s v="Jan-2025"/>
    <x v="1"/>
    <x v="1"/>
    <x v="1"/>
    <x v="7"/>
    <s v="Corporate"/>
    <x v="2"/>
    <x v="5"/>
    <n v="9"/>
    <n v="6637.88"/>
    <n v="59740.92"/>
    <n v="37826.28"/>
    <n v="21914.639999999999"/>
  </r>
  <r>
    <s v="ORD0143"/>
    <x v="115"/>
    <s v="Nov-2025"/>
    <x v="3"/>
    <x v="5"/>
    <x v="5"/>
    <x v="2"/>
    <s v="Distributor"/>
    <x v="2"/>
    <x v="5"/>
    <n v="5"/>
    <n v="6655.31"/>
    <n v="33276.550000000003"/>
    <n v="22037.55"/>
    <n v="11239"/>
  </r>
  <r>
    <s v="ORD0144"/>
    <x v="116"/>
    <s v="Sep-2025"/>
    <x v="1"/>
    <x v="1"/>
    <x v="11"/>
    <x v="1"/>
    <s v="Distributor"/>
    <x v="2"/>
    <x v="5"/>
    <n v="12"/>
    <n v="6684.14"/>
    <n v="80209.679999999993"/>
    <n v="48763.92"/>
    <n v="31445.759999999998"/>
  </r>
  <r>
    <s v="ORD0145"/>
    <x v="117"/>
    <s v="Feb-2025"/>
    <x v="2"/>
    <x v="7"/>
    <x v="7"/>
    <x v="0"/>
    <s v="Corporate"/>
    <x v="2"/>
    <x v="6"/>
    <n v="12"/>
    <n v="9642.85"/>
    <n v="115714.2"/>
    <n v="72639"/>
    <n v="43075.199999999997"/>
  </r>
  <r>
    <s v="ORD0146"/>
    <x v="118"/>
    <s v="Jan-2025"/>
    <x v="2"/>
    <x v="6"/>
    <x v="6"/>
    <x v="1"/>
    <s v="Distributor"/>
    <x v="0"/>
    <x v="2"/>
    <n v="5"/>
    <n v="923.67"/>
    <n v="4618.3500000000004"/>
    <n v="2616.3000000000002"/>
    <n v="2002.05"/>
  </r>
  <r>
    <s v="ORD0147"/>
    <x v="119"/>
    <s v="Apr-2025"/>
    <x v="1"/>
    <x v="4"/>
    <x v="4"/>
    <x v="0"/>
    <s v="Corporate"/>
    <x v="2"/>
    <x v="5"/>
    <n v="12"/>
    <n v="6242.71"/>
    <n v="74912.52"/>
    <n v="48682.32"/>
    <n v="26230.2"/>
  </r>
  <r>
    <s v="ORD0148"/>
    <x v="120"/>
    <s v="Jun-2025"/>
    <x v="0"/>
    <x v="0"/>
    <x v="0"/>
    <x v="6"/>
    <s v="Distributor"/>
    <x v="1"/>
    <x v="8"/>
    <n v="11"/>
    <n v="19228.53"/>
    <n v="211513.83"/>
    <n v="149887.76"/>
    <n v="61626.07"/>
  </r>
  <r>
    <s v="ORD0149"/>
    <x v="121"/>
    <s v="Oct-2025"/>
    <x v="3"/>
    <x v="3"/>
    <x v="3"/>
    <x v="0"/>
    <s v="Corporate"/>
    <x v="2"/>
    <x v="6"/>
    <n v="4"/>
    <n v="9139.9599999999991"/>
    <n v="36559.839999999997"/>
    <n v="24323.24"/>
    <n v="12236.6"/>
  </r>
  <r>
    <s v="ORD0150"/>
    <x v="34"/>
    <s v="Apr-2025"/>
    <x v="3"/>
    <x v="5"/>
    <x v="5"/>
    <x v="3"/>
    <s v="Distributor"/>
    <x v="1"/>
    <x v="1"/>
    <n v="1"/>
    <n v="48569.84"/>
    <n v="48569.84"/>
    <n v="39387.379999999997"/>
    <n v="9182.4599999999991"/>
  </r>
  <r>
    <s v="ORD0151"/>
    <x v="70"/>
    <s v="Mar-2025"/>
    <x v="2"/>
    <x v="7"/>
    <x v="7"/>
    <x v="0"/>
    <s v="Corporate"/>
    <x v="1"/>
    <x v="1"/>
    <n v="12"/>
    <n v="53379.65"/>
    <n v="640555.80000000005"/>
    <n v="469498.2"/>
    <n v="171057.6"/>
  </r>
  <r>
    <s v="ORD0152"/>
    <x v="122"/>
    <s v="Feb-2025"/>
    <x v="1"/>
    <x v="1"/>
    <x v="1"/>
    <x v="6"/>
    <s v="Corporate"/>
    <x v="0"/>
    <x v="7"/>
    <n v="2"/>
    <n v="2654.89"/>
    <n v="5309.78"/>
    <n v="3076.74"/>
    <n v="2233.04"/>
  </r>
  <r>
    <s v="ORD0153"/>
    <x v="123"/>
    <s v="Dec-2025"/>
    <x v="3"/>
    <x v="8"/>
    <x v="8"/>
    <x v="7"/>
    <s v="Corporate"/>
    <x v="1"/>
    <x v="1"/>
    <n v="1"/>
    <n v="48628.53"/>
    <n v="48628.53"/>
    <n v="42425.64"/>
    <n v="6202.89"/>
  </r>
  <r>
    <s v="ORD0154"/>
    <x v="124"/>
    <s v="Nov-2025"/>
    <x v="1"/>
    <x v="4"/>
    <x v="4"/>
    <x v="5"/>
    <s v="Retail"/>
    <x v="1"/>
    <x v="1"/>
    <n v="2"/>
    <n v="54537.34"/>
    <n v="109074.68"/>
    <n v="83199.820000000007"/>
    <n v="25874.86"/>
  </r>
  <r>
    <s v="ORD0155"/>
    <x v="125"/>
    <s v="May-2025"/>
    <x v="2"/>
    <x v="2"/>
    <x v="2"/>
    <x v="1"/>
    <s v="Retail"/>
    <x v="1"/>
    <x v="8"/>
    <n v="5"/>
    <n v="19251.259999999998"/>
    <n v="96256.3"/>
    <n v="62064.65"/>
    <n v="34191.65"/>
  </r>
  <r>
    <s v="ORD0156"/>
    <x v="126"/>
    <s v="Jul-2025"/>
    <x v="2"/>
    <x v="6"/>
    <x v="6"/>
    <x v="4"/>
    <s v="Retail"/>
    <x v="0"/>
    <x v="7"/>
    <n v="1"/>
    <n v="2620.9"/>
    <n v="2620.9"/>
    <n v="1429.69"/>
    <n v="1191.21"/>
  </r>
  <r>
    <s v="ORD0157"/>
    <x v="21"/>
    <s v="Sep-2025"/>
    <x v="1"/>
    <x v="1"/>
    <x v="11"/>
    <x v="4"/>
    <s v="Distributor"/>
    <x v="1"/>
    <x v="3"/>
    <n v="10"/>
    <n v="11549.83"/>
    <n v="115498.3"/>
    <n v="82897.899999999994"/>
    <n v="32600.400000000001"/>
  </r>
  <r>
    <s v="ORD0158"/>
    <x v="127"/>
    <s v="Feb-2025"/>
    <x v="2"/>
    <x v="7"/>
    <x v="7"/>
    <x v="1"/>
    <s v="Corporate"/>
    <x v="0"/>
    <x v="0"/>
    <n v="5"/>
    <n v="1253.19"/>
    <n v="6265.95"/>
    <n v="3667.25"/>
    <n v="2598.6999999999998"/>
  </r>
  <r>
    <s v="ORD0159"/>
    <x v="128"/>
    <s v="Jan-2025"/>
    <x v="2"/>
    <x v="2"/>
    <x v="2"/>
    <x v="3"/>
    <s v="Retail"/>
    <x v="0"/>
    <x v="0"/>
    <n v="8"/>
    <n v="1222.6600000000001"/>
    <n v="9781.2800000000007"/>
    <n v="5856"/>
    <n v="3925.28"/>
  </r>
  <r>
    <s v="ORD0160"/>
    <x v="129"/>
    <s v="Sep-2025"/>
    <x v="2"/>
    <x v="6"/>
    <x v="6"/>
    <x v="2"/>
    <s v="Retail"/>
    <x v="1"/>
    <x v="3"/>
    <n v="4"/>
    <n v="12056.97"/>
    <n v="48227.88"/>
    <n v="30751.759999999998"/>
    <n v="17476.12"/>
  </r>
  <r>
    <s v="ORD0161"/>
    <x v="130"/>
    <s v="Nov-2025"/>
    <x v="1"/>
    <x v="1"/>
    <x v="11"/>
    <x v="3"/>
    <s v="Distributor"/>
    <x v="2"/>
    <x v="4"/>
    <n v="2"/>
    <n v="10892.1"/>
    <n v="21784.2"/>
    <n v="15039.8"/>
    <n v="6744.4"/>
  </r>
  <r>
    <s v="ORD0162"/>
    <x v="131"/>
    <s v="Feb-2025"/>
    <x v="3"/>
    <x v="5"/>
    <x v="5"/>
    <x v="0"/>
    <s v="Retail"/>
    <x v="1"/>
    <x v="8"/>
    <n v="5"/>
    <n v="17895.759999999998"/>
    <n v="89478.8"/>
    <n v="65292.1"/>
    <n v="24186.7"/>
  </r>
  <r>
    <s v="ORD0163"/>
    <x v="103"/>
    <s v="Mar-2025"/>
    <x v="3"/>
    <x v="5"/>
    <x v="5"/>
    <x v="7"/>
    <s v="Retail"/>
    <x v="1"/>
    <x v="3"/>
    <n v="10"/>
    <n v="12518.06"/>
    <n v="125180.6"/>
    <n v="82023.899999999994"/>
    <n v="43156.7"/>
  </r>
  <r>
    <s v="ORD0164"/>
    <x v="132"/>
    <s v="Nov-2025"/>
    <x v="1"/>
    <x v="1"/>
    <x v="11"/>
    <x v="6"/>
    <s v="Distributor"/>
    <x v="1"/>
    <x v="8"/>
    <n v="11"/>
    <n v="18235.09"/>
    <n v="200585.99"/>
    <n v="140473.63"/>
    <n v="60112.36"/>
  </r>
  <r>
    <s v="ORD0165"/>
    <x v="133"/>
    <s v="Aug-2025"/>
    <x v="3"/>
    <x v="5"/>
    <x v="5"/>
    <x v="5"/>
    <s v="Distributor"/>
    <x v="1"/>
    <x v="1"/>
    <n v="6"/>
    <n v="51963.74"/>
    <n v="311782.44"/>
    <n v="255474.06"/>
    <n v="56308.38"/>
  </r>
  <r>
    <s v="ORD0166"/>
    <x v="134"/>
    <s v="May-2025"/>
    <x v="0"/>
    <x v="0"/>
    <x v="0"/>
    <x v="5"/>
    <s v="Distributor"/>
    <x v="0"/>
    <x v="0"/>
    <n v="12"/>
    <n v="1144.08"/>
    <n v="13728.96"/>
    <n v="8187.96"/>
    <n v="5541"/>
  </r>
  <r>
    <s v="ORD0167"/>
    <x v="120"/>
    <s v="Jun-2025"/>
    <x v="2"/>
    <x v="7"/>
    <x v="7"/>
    <x v="7"/>
    <s v="Retail"/>
    <x v="1"/>
    <x v="8"/>
    <n v="12"/>
    <n v="19426.3"/>
    <n v="233115.6"/>
    <n v="150767.76"/>
    <n v="82347.839999999997"/>
  </r>
  <r>
    <s v="ORD0168"/>
    <x v="135"/>
    <s v="Dec-2025"/>
    <x v="1"/>
    <x v="1"/>
    <x v="1"/>
    <x v="1"/>
    <s v="Corporate"/>
    <x v="1"/>
    <x v="8"/>
    <n v="12"/>
    <n v="17542.990000000002"/>
    <n v="210515.88"/>
    <n v="152471.64000000001"/>
    <n v="58044.24"/>
  </r>
  <r>
    <s v="ORD0169"/>
    <x v="136"/>
    <s v="Feb-2025"/>
    <x v="1"/>
    <x v="1"/>
    <x v="11"/>
    <x v="7"/>
    <s v="Retail"/>
    <x v="2"/>
    <x v="5"/>
    <n v="1"/>
    <n v="6434.05"/>
    <n v="6434.05"/>
    <n v="4322.22"/>
    <n v="2111.83"/>
  </r>
  <r>
    <s v="ORD0170"/>
    <x v="137"/>
    <s v="Dec-2025"/>
    <x v="0"/>
    <x v="9"/>
    <x v="9"/>
    <x v="5"/>
    <s v="Retail"/>
    <x v="1"/>
    <x v="1"/>
    <n v="5"/>
    <n v="53068.93"/>
    <n v="265344.65000000002"/>
    <n v="203046.6"/>
    <n v="62298.05"/>
  </r>
  <r>
    <s v="ORD0171"/>
    <x v="6"/>
    <s v="May-2025"/>
    <x v="3"/>
    <x v="5"/>
    <x v="5"/>
    <x v="1"/>
    <s v="Corporate"/>
    <x v="0"/>
    <x v="7"/>
    <n v="11"/>
    <n v="2655.03"/>
    <n v="29205.33"/>
    <n v="16952.21"/>
    <n v="12253.12"/>
  </r>
  <r>
    <s v="ORD0172"/>
    <x v="75"/>
    <s v="Dec-2025"/>
    <x v="0"/>
    <x v="9"/>
    <x v="9"/>
    <x v="2"/>
    <s v="Distributor"/>
    <x v="1"/>
    <x v="8"/>
    <n v="7"/>
    <n v="17585.14"/>
    <n v="123095.98"/>
    <n v="92167.32"/>
    <n v="30928.66"/>
  </r>
  <r>
    <s v="ORD0173"/>
    <x v="138"/>
    <s v="Feb-2025"/>
    <x v="3"/>
    <x v="8"/>
    <x v="8"/>
    <x v="1"/>
    <s v="Distributor"/>
    <x v="0"/>
    <x v="7"/>
    <n v="3"/>
    <n v="2418.77"/>
    <n v="7256.31"/>
    <n v="4465.62"/>
    <n v="2790.69"/>
  </r>
  <r>
    <s v="ORD0174"/>
    <x v="139"/>
    <s v="Aug-2025"/>
    <x v="1"/>
    <x v="4"/>
    <x v="4"/>
    <x v="1"/>
    <s v="Distributor"/>
    <x v="0"/>
    <x v="7"/>
    <n v="3"/>
    <n v="2660.44"/>
    <n v="7981.32"/>
    <n v="4422.63"/>
    <n v="3558.69"/>
  </r>
  <r>
    <s v="ORD0175"/>
    <x v="140"/>
    <s v="Jan-2025"/>
    <x v="3"/>
    <x v="3"/>
    <x v="3"/>
    <x v="3"/>
    <s v="Corporate"/>
    <x v="2"/>
    <x v="6"/>
    <n v="4"/>
    <n v="8587.14"/>
    <n v="34348.559999999998"/>
    <n v="25498.84"/>
    <n v="8849.7199999999993"/>
  </r>
  <r>
    <s v="ORD0176"/>
    <x v="141"/>
    <s v="Apr-2025"/>
    <x v="2"/>
    <x v="7"/>
    <x v="7"/>
    <x v="4"/>
    <s v="Distributor"/>
    <x v="1"/>
    <x v="3"/>
    <n v="8"/>
    <n v="12081.94"/>
    <n v="96655.52"/>
    <n v="64891.28"/>
    <n v="31764.240000000002"/>
  </r>
  <r>
    <s v="ORD0177"/>
    <x v="142"/>
    <s v="Jul-2025"/>
    <x v="2"/>
    <x v="2"/>
    <x v="2"/>
    <x v="4"/>
    <s v="Corporate"/>
    <x v="0"/>
    <x v="0"/>
    <n v="7"/>
    <n v="1208.48"/>
    <n v="8459.36"/>
    <n v="5112.03"/>
    <n v="3347.33"/>
  </r>
  <r>
    <s v="ORD0178"/>
    <x v="16"/>
    <s v="Nov-2025"/>
    <x v="2"/>
    <x v="6"/>
    <x v="6"/>
    <x v="0"/>
    <s v="Retail"/>
    <x v="2"/>
    <x v="4"/>
    <n v="7"/>
    <n v="10331.48"/>
    <n v="72320.36"/>
    <n v="50939.98"/>
    <n v="21380.38"/>
  </r>
  <r>
    <s v="ORD0179"/>
    <x v="143"/>
    <s v="Aug-2025"/>
    <x v="2"/>
    <x v="6"/>
    <x v="6"/>
    <x v="5"/>
    <s v="Corporate"/>
    <x v="1"/>
    <x v="8"/>
    <n v="12"/>
    <n v="17821.29"/>
    <n v="213855.48"/>
    <n v="163076.04"/>
    <n v="50779.44"/>
  </r>
  <r>
    <s v="ORD0180"/>
    <x v="144"/>
    <s v="Apr-2025"/>
    <x v="3"/>
    <x v="3"/>
    <x v="3"/>
    <x v="7"/>
    <s v="Corporate"/>
    <x v="1"/>
    <x v="1"/>
    <n v="11"/>
    <n v="49866.74"/>
    <n v="548534.14"/>
    <n v="457413.22"/>
    <n v="91120.92"/>
  </r>
  <r>
    <s v="ORD0181"/>
    <x v="145"/>
    <s v="Apr-2025"/>
    <x v="0"/>
    <x v="0"/>
    <x v="0"/>
    <x v="1"/>
    <s v="Retail"/>
    <x v="2"/>
    <x v="6"/>
    <n v="11"/>
    <n v="8538.9699999999993"/>
    <n v="93928.67"/>
    <n v="70476.12"/>
    <n v="23452.55"/>
  </r>
  <r>
    <s v="ORD0182"/>
    <x v="146"/>
    <s v="Jul-2025"/>
    <x v="0"/>
    <x v="0"/>
    <x v="0"/>
    <x v="1"/>
    <s v="Distributor"/>
    <x v="2"/>
    <x v="4"/>
    <n v="11"/>
    <n v="10536.72"/>
    <n v="115903.92"/>
    <n v="79442.55"/>
    <n v="36461.370000000003"/>
  </r>
  <r>
    <s v="ORD0183"/>
    <x v="147"/>
    <s v="May-2025"/>
    <x v="2"/>
    <x v="7"/>
    <x v="7"/>
    <x v="5"/>
    <s v="Retail"/>
    <x v="2"/>
    <x v="4"/>
    <n v="7"/>
    <n v="11258.55"/>
    <n v="78809.850000000006"/>
    <n v="50994.44"/>
    <n v="27815.41"/>
  </r>
  <r>
    <s v="ORD0184"/>
    <x v="148"/>
    <s v="Jul-2025"/>
    <x v="0"/>
    <x v="0"/>
    <x v="0"/>
    <x v="1"/>
    <s v="Corporate"/>
    <x v="1"/>
    <x v="3"/>
    <n v="6"/>
    <n v="12571.27"/>
    <n v="75427.62"/>
    <n v="46273.919999999998"/>
    <n v="29153.7"/>
  </r>
  <r>
    <s v="ORD0185"/>
    <x v="22"/>
    <s v="Jun-2025"/>
    <x v="1"/>
    <x v="4"/>
    <x v="4"/>
    <x v="0"/>
    <s v="Corporate"/>
    <x v="1"/>
    <x v="3"/>
    <n v="5"/>
    <n v="11610.05"/>
    <n v="58050.25"/>
    <n v="38406.050000000003"/>
    <n v="19644.2"/>
  </r>
  <r>
    <s v="ORD0186"/>
    <x v="149"/>
    <s v="Mar-2025"/>
    <x v="0"/>
    <x v="10"/>
    <x v="10"/>
    <x v="4"/>
    <s v="Retail"/>
    <x v="1"/>
    <x v="1"/>
    <n v="7"/>
    <n v="54535.06"/>
    <n v="381745.42"/>
    <n v="277469.08"/>
    <n v="104276.34"/>
  </r>
  <r>
    <s v="ORD0187"/>
    <x v="150"/>
    <s v="Dec-2025"/>
    <x v="1"/>
    <x v="4"/>
    <x v="4"/>
    <x v="5"/>
    <s v="Corporate"/>
    <x v="2"/>
    <x v="6"/>
    <n v="4"/>
    <n v="9086.57"/>
    <n v="36346.28"/>
    <n v="25399.96"/>
    <n v="10946.32"/>
  </r>
  <r>
    <s v="ORD0188"/>
    <x v="94"/>
    <s v="Aug-2025"/>
    <x v="1"/>
    <x v="4"/>
    <x v="4"/>
    <x v="3"/>
    <s v="Retail"/>
    <x v="2"/>
    <x v="5"/>
    <n v="3"/>
    <n v="6506.41"/>
    <n v="19519.23"/>
    <n v="12672.09"/>
    <n v="6847.14"/>
  </r>
  <r>
    <s v="ORD0189"/>
    <x v="104"/>
    <s v="Sep-2025"/>
    <x v="3"/>
    <x v="8"/>
    <x v="8"/>
    <x v="4"/>
    <s v="Corporate"/>
    <x v="2"/>
    <x v="5"/>
    <n v="9"/>
    <n v="6629.61"/>
    <n v="59666.49"/>
    <n v="38686.769999999997"/>
    <n v="20979.72"/>
  </r>
  <r>
    <s v="ORD0190"/>
    <x v="70"/>
    <s v="Mar-2025"/>
    <x v="2"/>
    <x v="2"/>
    <x v="2"/>
    <x v="4"/>
    <s v="Distributor"/>
    <x v="2"/>
    <x v="4"/>
    <n v="6"/>
    <n v="10932.59"/>
    <n v="65595.539999999994"/>
    <n v="47879.76"/>
    <n v="17715.78"/>
  </r>
  <r>
    <s v="ORD0191"/>
    <x v="151"/>
    <s v="Dec-2025"/>
    <x v="1"/>
    <x v="1"/>
    <x v="1"/>
    <x v="6"/>
    <s v="Distributor"/>
    <x v="0"/>
    <x v="0"/>
    <n v="1"/>
    <n v="1225.74"/>
    <n v="1225.74"/>
    <n v="712.78"/>
    <n v="512.96"/>
  </r>
  <r>
    <s v="ORD0192"/>
    <x v="63"/>
    <s v="Jun-2025"/>
    <x v="1"/>
    <x v="4"/>
    <x v="4"/>
    <x v="4"/>
    <s v="Retail"/>
    <x v="1"/>
    <x v="1"/>
    <n v="4"/>
    <n v="53961.84"/>
    <n v="215847.36"/>
    <n v="166054.56"/>
    <n v="49792.800000000003"/>
  </r>
  <r>
    <s v="ORD0193"/>
    <x v="152"/>
    <s v="Jun-2025"/>
    <x v="1"/>
    <x v="4"/>
    <x v="4"/>
    <x v="6"/>
    <s v="Retail"/>
    <x v="2"/>
    <x v="6"/>
    <n v="9"/>
    <n v="9410.2800000000007"/>
    <n v="84692.52"/>
    <n v="54185.85"/>
    <n v="30506.67"/>
  </r>
  <r>
    <s v="ORD0194"/>
    <x v="153"/>
    <s v="Aug-2025"/>
    <x v="2"/>
    <x v="2"/>
    <x v="2"/>
    <x v="5"/>
    <s v="Distributor"/>
    <x v="1"/>
    <x v="8"/>
    <n v="5"/>
    <n v="17698.98"/>
    <n v="88494.9"/>
    <n v="64959.25"/>
    <n v="23535.65"/>
  </r>
  <r>
    <s v="ORD0195"/>
    <x v="154"/>
    <s v="Jun-2025"/>
    <x v="2"/>
    <x v="6"/>
    <x v="6"/>
    <x v="6"/>
    <s v="Corporate"/>
    <x v="0"/>
    <x v="2"/>
    <n v="2"/>
    <n v="881.67"/>
    <n v="1763.34"/>
    <n v="981.7"/>
    <n v="781.64"/>
  </r>
  <r>
    <s v="ORD0196"/>
    <x v="76"/>
    <s v="Jun-2025"/>
    <x v="0"/>
    <x v="9"/>
    <x v="9"/>
    <x v="3"/>
    <s v="Corporate"/>
    <x v="2"/>
    <x v="6"/>
    <n v="9"/>
    <n v="9565.56"/>
    <n v="86090.04"/>
    <n v="56053.35"/>
    <n v="30036.69"/>
  </r>
  <r>
    <s v="ORD0197"/>
    <x v="155"/>
    <s v="Jan-2025"/>
    <x v="3"/>
    <x v="3"/>
    <x v="3"/>
    <x v="3"/>
    <s v="Corporate"/>
    <x v="1"/>
    <x v="1"/>
    <n v="8"/>
    <n v="53107.75"/>
    <n v="424862"/>
    <n v="333182.88"/>
    <n v="91679.12"/>
  </r>
  <r>
    <s v="ORD0198"/>
    <x v="156"/>
    <s v="Sep-2025"/>
    <x v="3"/>
    <x v="5"/>
    <x v="5"/>
    <x v="2"/>
    <s v="Distributor"/>
    <x v="0"/>
    <x v="7"/>
    <n v="12"/>
    <n v="2548.62"/>
    <n v="30583.439999999999"/>
    <n v="18325.8"/>
    <n v="12257.64"/>
  </r>
  <r>
    <s v="ORD0199"/>
    <x v="34"/>
    <s v="Apr-2025"/>
    <x v="1"/>
    <x v="4"/>
    <x v="4"/>
    <x v="4"/>
    <s v="Distributor"/>
    <x v="1"/>
    <x v="1"/>
    <n v="11"/>
    <n v="49774.13"/>
    <n v="547515.43000000005"/>
    <n v="430117.71"/>
    <n v="117397.72"/>
  </r>
  <r>
    <s v="ORD0200"/>
    <x v="157"/>
    <s v="Feb-2025"/>
    <x v="1"/>
    <x v="1"/>
    <x v="11"/>
    <x v="2"/>
    <s v="Retail"/>
    <x v="0"/>
    <x v="7"/>
    <n v="5"/>
    <n v="2648.42"/>
    <n v="13242.1"/>
    <n v="7263.6"/>
    <n v="5978.5"/>
  </r>
  <r>
    <s v="ORD0201"/>
    <x v="158"/>
    <s v="Jan-2025"/>
    <x v="2"/>
    <x v="7"/>
    <x v="7"/>
    <x v="1"/>
    <s v="Distributor"/>
    <x v="0"/>
    <x v="7"/>
    <n v="1"/>
    <n v="2511.66"/>
    <n v="2511.66"/>
    <n v="1503.32"/>
    <n v="1008.34"/>
  </r>
  <r>
    <s v="ORD0202"/>
    <x v="159"/>
    <s v="Mar-2025"/>
    <x v="3"/>
    <x v="5"/>
    <x v="5"/>
    <x v="1"/>
    <s v="Retail"/>
    <x v="1"/>
    <x v="1"/>
    <n v="11"/>
    <n v="51379.71"/>
    <n v="565176.81000000006"/>
    <n v="455147.88"/>
    <n v="110028.93"/>
  </r>
  <r>
    <s v="ORD0203"/>
    <x v="160"/>
    <s v="Dec-2025"/>
    <x v="0"/>
    <x v="0"/>
    <x v="0"/>
    <x v="1"/>
    <s v="Distributor"/>
    <x v="1"/>
    <x v="1"/>
    <n v="11"/>
    <n v="52043.1"/>
    <n v="572474.1"/>
    <n v="468849.37"/>
    <n v="103624.73"/>
  </r>
  <r>
    <s v="ORD0204"/>
    <x v="86"/>
    <s v="Nov-2025"/>
    <x v="1"/>
    <x v="1"/>
    <x v="11"/>
    <x v="0"/>
    <s v="Corporate"/>
    <x v="0"/>
    <x v="7"/>
    <n v="2"/>
    <n v="2694.99"/>
    <n v="5389.98"/>
    <n v="3107.54"/>
    <n v="2282.44"/>
  </r>
  <r>
    <s v="ORD0205"/>
    <x v="119"/>
    <s v="Apr-2025"/>
    <x v="1"/>
    <x v="1"/>
    <x v="1"/>
    <x v="4"/>
    <s v="Corporate"/>
    <x v="2"/>
    <x v="6"/>
    <n v="10"/>
    <n v="8697.07"/>
    <n v="86970.7"/>
    <n v="63448.1"/>
    <n v="23522.6"/>
  </r>
  <r>
    <s v="ORD0206"/>
    <x v="161"/>
    <s v="Apr-2025"/>
    <x v="1"/>
    <x v="1"/>
    <x v="11"/>
    <x v="2"/>
    <s v="Distributor"/>
    <x v="1"/>
    <x v="8"/>
    <n v="11"/>
    <n v="18245.22"/>
    <n v="200697.42"/>
    <n v="142972.82999999999"/>
    <n v="57724.59"/>
  </r>
  <r>
    <s v="ORD0207"/>
    <x v="162"/>
    <s v="Dec-2025"/>
    <x v="2"/>
    <x v="7"/>
    <x v="7"/>
    <x v="0"/>
    <s v="Corporate"/>
    <x v="1"/>
    <x v="1"/>
    <n v="11"/>
    <n v="53715.79"/>
    <n v="590873.68999999994"/>
    <n v="456331.92"/>
    <n v="134541.76999999999"/>
  </r>
  <r>
    <s v="ORD0208"/>
    <x v="163"/>
    <s v="Jul-2025"/>
    <x v="2"/>
    <x v="2"/>
    <x v="2"/>
    <x v="2"/>
    <s v="Retail"/>
    <x v="0"/>
    <x v="0"/>
    <n v="6"/>
    <n v="1182.1600000000001"/>
    <n v="7092.96"/>
    <n v="4231.5"/>
    <n v="2861.46"/>
  </r>
  <r>
    <s v="ORD0209"/>
    <x v="94"/>
    <s v="Aug-2025"/>
    <x v="3"/>
    <x v="5"/>
    <x v="5"/>
    <x v="2"/>
    <s v="Corporate"/>
    <x v="1"/>
    <x v="8"/>
    <n v="11"/>
    <n v="17182.87"/>
    <n v="189011.57"/>
    <n v="147316.4"/>
    <n v="41695.17"/>
  </r>
  <r>
    <s v="ORD0210"/>
    <x v="116"/>
    <s v="Sep-2025"/>
    <x v="3"/>
    <x v="3"/>
    <x v="3"/>
    <x v="5"/>
    <s v="Distributor"/>
    <x v="2"/>
    <x v="4"/>
    <n v="5"/>
    <n v="10330.049999999999"/>
    <n v="51650.25"/>
    <n v="39801"/>
    <n v="11849.25"/>
  </r>
  <r>
    <s v="ORD0211"/>
    <x v="78"/>
    <s v="Dec-2025"/>
    <x v="2"/>
    <x v="6"/>
    <x v="6"/>
    <x v="0"/>
    <s v="Corporate"/>
    <x v="0"/>
    <x v="2"/>
    <n v="10"/>
    <n v="894.86"/>
    <n v="8948.6"/>
    <n v="5194.1000000000004"/>
    <n v="3754.5"/>
  </r>
  <r>
    <s v="ORD0212"/>
    <x v="164"/>
    <s v="Jul-2025"/>
    <x v="3"/>
    <x v="5"/>
    <x v="5"/>
    <x v="1"/>
    <s v="Distributor"/>
    <x v="1"/>
    <x v="8"/>
    <n v="5"/>
    <n v="18599.099999999999"/>
    <n v="92995.5"/>
    <n v="63839.9"/>
    <n v="29155.599999999999"/>
  </r>
  <r>
    <s v="ORD0213"/>
    <x v="165"/>
    <s v="May-2025"/>
    <x v="3"/>
    <x v="8"/>
    <x v="8"/>
    <x v="0"/>
    <s v="Retail"/>
    <x v="1"/>
    <x v="3"/>
    <n v="3"/>
    <n v="11652.93"/>
    <n v="34958.79"/>
    <n v="24842.85"/>
    <n v="10115.94"/>
  </r>
  <r>
    <s v="ORD0214"/>
    <x v="166"/>
    <s v="Oct-2025"/>
    <x v="3"/>
    <x v="3"/>
    <x v="3"/>
    <x v="3"/>
    <s v="Distributor"/>
    <x v="0"/>
    <x v="2"/>
    <n v="7"/>
    <n v="864.06"/>
    <n v="6048.42"/>
    <n v="3587.57"/>
    <n v="2460.85"/>
  </r>
  <r>
    <s v="ORD0215"/>
    <x v="167"/>
    <s v="Apr-2025"/>
    <x v="2"/>
    <x v="6"/>
    <x v="6"/>
    <x v="0"/>
    <s v="Distributor"/>
    <x v="2"/>
    <x v="4"/>
    <n v="12"/>
    <n v="10570.87"/>
    <n v="126850.44"/>
    <n v="88963.199999999997"/>
    <n v="37887.24"/>
  </r>
  <r>
    <s v="ORD0216"/>
    <x v="168"/>
    <s v="Jan-2025"/>
    <x v="3"/>
    <x v="3"/>
    <x v="3"/>
    <x v="3"/>
    <s v="Distributor"/>
    <x v="2"/>
    <x v="5"/>
    <n v="4"/>
    <n v="6433.23"/>
    <n v="25732.92"/>
    <n v="16835.36"/>
    <n v="8897.56"/>
  </r>
  <r>
    <s v="ORD0217"/>
    <x v="169"/>
    <s v="May-2025"/>
    <x v="2"/>
    <x v="2"/>
    <x v="2"/>
    <x v="7"/>
    <s v="Corporate"/>
    <x v="1"/>
    <x v="1"/>
    <n v="2"/>
    <n v="49769.41"/>
    <n v="99538.82"/>
    <n v="83648.72"/>
    <n v="15890.1"/>
  </r>
  <r>
    <s v="ORD0218"/>
    <x v="148"/>
    <s v="Jul-2025"/>
    <x v="2"/>
    <x v="2"/>
    <x v="2"/>
    <x v="2"/>
    <s v="Corporate"/>
    <x v="1"/>
    <x v="8"/>
    <n v="6"/>
    <n v="19079.2"/>
    <n v="114475.2"/>
    <n v="76999.02"/>
    <n v="37476.18"/>
  </r>
  <r>
    <s v="ORD0219"/>
    <x v="133"/>
    <s v="Aug-2025"/>
    <x v="1"/>
    <x v="1"/>
    <x v="1"/>
    <x v="6"/>
    <s v="Distributor"/>
    <x v="1"/>
    <x v="8"/>
    <n v="5"/>
    <n v="18142.53"/>
    <n v="90712.65"/>
    <n v="61883.7"/>
    <n v="28828.95"/>
  </r>
  <r>
    <s v="ORD0220"/>
    <x v="158"/>
    <s v="Jan-2025"/>
    <x v="0"/>
    <x v="9"/>
    <x v="9"/>
    <x v="4"/>
    <s v="Distributor"/>
    <x v="0"/>
    <x v="0"/>
    <n v="5"/>
    <n v="1282.5899999999999"/>
    <n v="6412.95"/>
    <n v="3422.95"/>
    <n v="2990"/>
  </r>
  <r>
    <s v="ORD0221"/>
    <x v="170"/>
    <s v="Feb-2025"/>
    <x v="3"/>
    <x v="5"/>
    <x v="5"/>
    <x v="2"/>
    <s v="Retail"/>
    <x v="1"/>
    <x v="8"/>
    <n v="4"/>
    <n v="19425.46"/>
    <n v="77701.84"/>
    <n v="51366.64"/>
    <n v="26335.200000000001"/>
  </r>
  <r>
    <s v="ORD0222"/>
    <x v="171"/>
    <s v="Jan-2025"/>
    <x v="1"/>
    <x v="1"/>
    <x v="1"/>
    <x v="6"/>
    <s v="Distributor"/>
    <x v="2"/>
    <x v="4"/>
    <n v="2"/>
    <n v="11653.9"/>
    <n v="23307.8"/>
    <n v="15412.56"/>
    <n v="7895.24"/>
  </r>
  <r>
    <s v="ORD0223"/>
    <x v="172"/>
    <s v="Mar-2025"/>
    <x v="1"/>
    <x v="1"/>
    <x v="11"/>
    <x v="6"/>
    <s v="Distributor"/>
    <x v="1"/>
    <x v="3"/>
    <n v="2"/>
    <n v="12881.56"/>
    <n v="25763.119999999999"/>
    <n v="16271.56"/>
    <n v="9491.56"/>
  </r>
  <r>
    <s v="ORD0224"/>
    <x v="173"/>
    <s v="Jul-2025"/>
    <x v="0"/>
    <x v="0"/>
    <x v="0"/>
    <x v="2"/>
    <s v="Retail"/>
    <x v="1"/>
    <x v="3"/>
    <n v="4"/>
    <n v="11469.82"/>
    <n v="45879.28"/>
    <n v="33413.480000000003"/>
    <n v="12465.8"/>
  </r>
  <r>
    <s v="ORD0225"/>
    <x v="174"/>
    <s v="Jun-2025"/>
    <x v="1"/>
    <x v="4"/>
    <x v="4"/>
    <x v="0"/>
    <s v="Corporate"/>
    <x v="2"/>
    <x v="6"/>
    <n v="12"/>
    <n v="9368.42"/>
    <n v="112421.04"/>
    <n v="76346.64"/>
    <n v="36074.400000000001"/>
  </r>
  <r>
    <s v="ORD0226"/>
    <x v="104"/>
    <s v="Sep-2025"/>
    <x v="1"/>
    <x v="1"/>
    <x v="1"/>
    <x v="2"/>
    <s v="Retail"/>
    <x v="1"/>
    <x v="1"/>
    <n v="11"/>
    <n v="54196.14"/>
    <n v="596157.54"/>
    <n v="455049.32"/>
    <n v="141108.22"/>
  </r>
  <r>
    <s v="ORD0227"/>
    <x v="175"/>
    <s v="Aug-2025"/>
    <x v="1"/>
    <x v="1"/>
    <x v="11"/>
    <x v="6"/>
    <s v="Retail"/>
    <x v="2"/>
    <x v="4"/>
    <n v="2"/>
    <n v="10848.72"/>
    <n v="21697.439999999999"/>
    <n v="15017.06"/>
    <n v="6680.38"/>
  </r>
  <r>
    <s v="ORD0228"/>
    <x v="175"/>
    <s v="Aug-2025"/>
    <x v="0"/>
    <x v="10"/>
    <x v="10"/>
    <x v="0"/>
    <s v="Retail"/>
    <x v="0"/>
    <x v="0"/>
    <n v="1"/>
    <n v="1144.25"/>
    <n v="1144.25"/>
    <n v="723.3"/>
    <n v="420.95"/>
  </r>
  <r>
    <s v="ORD0229"/>
    <x v="8"/>
    <s v="Feb-2025"/>
    <x v="2"/>
    <x v="6"/>
    <x v="6"/>
    <x v="2"/>
    <s v="Retail"/>
    <x v="1"/>
    <x v="8"/>
    <n v="1"/>
    <n v="18436.599999999999"/>
    <n v="18436.599999999999"/>
    <n v="12938.03"/>
    <n v="5498.57"/>
  </r>
  <r>
    <s v="ORD0230"/>
    <x v="152"/>
    <s v="Jun-2025"/>
    <x v="2"/>
    <x v="7"/>
    <x v="7"/>
    <x v="4"/>
    <s v="Corporate"/>
    <x v="0"/>
    <x v="2"/>
    <n v="3"/>
    <n v="881.82"/>
    <n v="2645.46"/>
    <n v="1535.4"/>
    <n v="1110.06"/>
  </r>
  <r>
    <s v="ORD0231"/>
    <x v="176"/>
    <s v="Apr-2025"/>
    <x v="3"/>
    <x v="5"/>
    <x v="5"/>
    <x v="2"/>
    <s v="Retail"/>
    <x v="1"/>
    <x v="8"/>
    <n v="7"/>
    <n v="17851.810000000001"/>
    <n v="124962.67"/>
    <n v="87866.73"/>
    <n v="37095.94"/>
  </r>
  <r>
    <s v="ORD0232"/>
    <x v="9"/>
    <s v="May-2025"/>
    <x v="2"/>
    <x v="2"/>
    <x v="2"/>
    <x v="2"/>
    <s v="Retail"/>
    <x v="2"/>
    <x v="5"/>
    <n v="6"/>
    <n v="6489.78"/>
    <n v="38938.68"/>
    <n v="25155.72"/>
    <n v="13782.96"/>
  </r>
  <r>
    <s v="ORD0233"/>
    <x v="177"/>
    <s v="Mar-2025"/>
    <x v="1"/>
    <x v="4"/>
    <x v="4"/>
    <x v="7"/>
    <s v="Distributor"/>
    <x v="2"/>
    <x v="4"/>
    <n v="2"/>
    <n v="10655.36"/>
    <n v="21310.720000000001"/>
    <n v="14746.46"/>
    <n v="6564.26"/>
  </r>
  <r>
    <s v="ORD0234"/>
    <x v="100"/>
    <s v="Jul-2025"/>
    <x v="3"/>
    <x v="3"/>
    <x v="3"/>
    <x v="7"/>
    <s v="Corporate"/>
    <x v="1"/>
    <x v="8"/>
    <n v="5"/>
    <n v="17862.22"/>
    <n v="89311.1"/>
    <n v="62804.25"/>
    <n v="26506.85"/>
  </r>
  <r>
    <s v="ORD0235"/>
    <x v="125"/>
    <s v="May-2025"/>
    <x v="0"/>
    <x v="9"/>
    <x v="9"/>
    <x v="0"/>
    <s v="Retail"/>
    <x v="0"/>
    <x v="2"/>
    <n v="9"/>
    <n v="855.92"/>
    <n v="7703.28"/>
    <n v="4275.8999999999996"/>
    <n v="3427.38"/>
  </r>
  <r>
    <s v="ORD0236"/>
    <x v="178"/>
    <s v="Sep-2025"/>
    <x v="2"/>
    <x v="7"/>
    <x v="7"/>
    <x v="6"/>
    <s v="Retail"/>
    <x v="1"/>
    <x v="8"/>
    <n v="4"/>
    <n v="17487.490000000002"/>
    <n v="69949.960000000006"/>
    <n v="50339.56"/>
    <n v="19610.400000000001"/>
  </r>
  <r>
    <s v="ORD0237"/>
    <x v="176"/>
    <s v="Apr-2025"/>
    <x v="0"/>
    <x v="9"/>
    <x v="9"/>
    <x v="2"/>
    <s v="Corporate"/>
    <x v="0"/>
    <x v="0"/>
    <n v="2"/>
    <n v="1276.08"/>
    <n v="2552.16"/>
    <n v="1432.32"/>
    <n v="1119.8399999999999"/>
  </r>
  <r>
    <s v="ORD0238"/>
    <x v="179"/>
    <s v="May-2025"/>
    <x v="0"/>
    <x v="10"/>
    <x v="10"/>
    <x v="2"/>
    <s v="Distributor"/>
    <x v="0"/>
    <x v="7"/>
    <n v="11"/>
    <n v="2629.34"/>
    <n v="28922.74"/>
    <n v="16636.84"/>
    <n v="12285.9"/>
  </r>
  <r>
    <s v="ORD0239"/>
    <x v="180"/>
    <s v="Apr-2025"/>
    <x v="1"/>
    <x v="1"/>
    <x v="1"/>
    <x v="1"/>
    <s v="Distributor"/>
    <x v="1"/>
    <x v="3"/>
    <n v="6"/>
    <n v="11763.39"/>
    <n v="70580.34"/>
    <n v="49641.18"/>
    <n v="20939.16"/>
  </r>
  <r>
    <s v="ORD0240"/>
    <x v="11"/>
    <s v="Sep-2025"/>
    <x v="1"/>
    <x v="1"/>
    <x v="1"/>
    <x v="1"/>
    <s v="Retail"/>
    <x v="1"/>
    <x v="3"/>
    <n v="5"/>
    <n v="11607.01"/>
    <n v="58035.05"/>
    <n v="40252.5"/>
    <n v="17782.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6CCE39-F990-4B3C-84C2-9E7B6D2957ED}" name="PivotTable8" cacheId="2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6" firstHeaderRow="1" firstDataRow="1" firstDataCol="1"/>
  <pivotFields count="17">
    <pivotField showAll="0"/>
    <pivotField numFmtId="165" showAll="0">
      <items count="182">
        <item x="49"/>
        <item x="128"/>
        <item x="98"/>
        <item x="168"/>
        <item x="140"/>
        <item x="14"/>
        <item x="44"/>
        <item x="74"/>
        <item x="171"/>
        <item x="158"/>
        <item x="57"/>
        <item x="65"/>
        <item x="155"/>
        <item x="118"/>
        <item x="47"/>
        <item x="40"/>
        <item x="73"/>
        <item x="122"/>
        <item x="7"/>
        <item x="8"/>
        <item x="82"/>
        <item x="12"/>
        <item x="54"/>
        <item x="131"/>
        <item x="127"/>
        <item x="170"/>
        <item x="138"/>
        <item x="157"/>
        <item x="4"/>
        <item x="117"/>
        <item x="136"/>
        <item x="38"/>
        <item x="159"/>
        <item x="172"/>
        <item x="84"/>
        <item x="109"/>
        <item x="3"/>
        <item x="71"/>
        <item x="81"/>
        <item x="149"/>
        <item x="177"/>
        <item x="105"/>
        <item x="70"/>
        <item x="103"/>
        <item x="108"/>
        <item x="176"/>
        <item x="29"/>
        <item x="161"/>
        <item x="80"/>
        <item x="141"/>
        <item x="180"/>
        <item x="23"/>
        <item x="60"/>
        <item x="34"/>
        <item x="1"/>
        <item x="46"/>
        <item x="119"/>
        <item x="144"/>
        <item x="41"/>
        <item x="20"/>
        <item x="145"/>
        <item x="167"/>
        <item x="56"/>
        <item x="134"/>
        <item x="27"/>
        <item x="6"/>
        <item x="45"/>
        <item x="95"/>
        <item x="64"/>
        <item x="99"/>
        <item x="169"/>
        <item x="114"/>
        <item x="165"/>
        <item x="9"/>
        <item x="179"/>
        <item x="88"/>
        <item x="77"/>
        <item x="147"/>
        <item x="68"/>
        <item x="58"/>
        <item x="125"/>
        <item x="76"/>
        <item x="112"/>
        <item x="52"/>
        <item x="107"/>
        <item x="0"/>
        <item x="91"/>
        <item x="120"/>
        <item x="63"/>
        <item x="154"/>
        <item x="152"/>
        <item x="22"/>
        <item x="174"/>
        <item x="146"/>
        <item x="50"/>
        <item x="111"/>
        <item x="148"/>
        <item x="100"/>
        <item x="126"/>
        <item x="142"/>
        <item x="164"/>
        <item x="83"/>
        <item x="48"/>
        <item x="89"/>
        <item x="24"/>
        <item x="163"/>
        <item x="173"/>
        <item x="25"/>
        <item x="102"/>
        <item x="101"/>
        <item x="13"/>
        <item x="143"/>
        <item x="39"/>
        <item x="36"/>
        <item x="153"/>
        <item x="94"/>
        <item x="175"/>
        <item x="10"/>
        <item x="33"/>
        <item x="32"/>
        <item x="139"/>
        <item x="133"/>
        <item x="17"/>
        <item x="35"/>
        <item x="59"/>
        <item x="96"/>
        <item x="116"/>
        <item x="15"/>
        <item x="104"/>
        <item x="62"/>
        <item x="11"/>
        <item x="53"/>
        <item x="156"/>
        <item x="55"/>
        <item x="51"/>
        <item x="66"/>
        <item x="90"/>
        <item x="129"/>
        <item x="28"/>
        <item x="21"/>
        <item x="178"/>
        <item x="19"/>
        <item x="121"/>
        <item x="93"/>
        <item x="85"/>
        <item x="166"/>
        <item x="67"/>
        <item x="37"/>
        <item x="31"/>
        <item x="2"/>
        <item x="72"/>
        <item x="97"/>
        <item x="110"/>
        <item x="87"/>
        <item x="16"/>
        <item x="42"/>
        <item x="86"/>
        <item x="43"/>
        <item x="61"/>
        <item x="124"/>
        <item x="130"/>
        <item x="115"/>
        <item x="132"/>
        <item x="26"/>
        <item x="69"/>
        <item x="135"/>
        <item x="160"/>
        <item x="79"/>
        <item x="162"/>
        <item x="106"/>
        <item x="151"/>
        <item x="5"/>
        <item x="30"/>
        <item x="150"/>
        <item x="18"/>
        <item x="137"/>
        <item x="75"/>
        <item x="78"/>
        <item x="113"/>
        <item x="92"/>
        <item x="123"/>
        <item t="default"/>
      </items>
    </pivotField>
    <pivotField showAll="0"/>
    <pivotField showAll="0">
      <items count="5">
        <item x="3"/>
        <item x="0"/>
        <item x="2"/>
        <item x="1"/>
        <item t="default"/>
      </items>
    </pivotField>
    <pivotField showAll="0">
      <items count="12">
        <item x="5"/>
        <item x="10"/>
        <item x="4"/>
        <item x="7"/>
        <item x="1"/>
        <item x="3"/>
        <item x="0"/>
        <item x="2"/>
        <item x="6"/>
        <item x="9"/>
        <item x="8"/>
        <item t="default"/>
      </items>
    </pivotField>
    <pivotField showAll="0">
      <items count="13">
        <item x="4"/>
        <item x="7"/>
        <item x="3"/>
        <item x="2"/>
        <item x="6"/>
        <item x="8"/>
        <item x="9"/>
        <item x="0"/>
        <item x="1"/>
        <item x="10"/>
        <item x="5"/>
        <item x="11"/>
        <item t="default"/>
      </items>
    </pivotField>
    <pivotField showAll="0">
      <items count="9">
        <item h="1" x="0"/>
        <item h="1" x="5"/>
        <item x="3"/>
        <item h="1" x="4"/>
        <item h="1" x="7"/>
        <item h="1" x="2"/>
        <item h="1" x="6"/>
        <item h="1" x="1"/>
        <item t="default"/>
      </items>
    </pivotField>
    <pivotField showAll="0"/>
    <pivotField showAll="0"/>
    <pivotField showAll="0">
      <items count="10">
        <item x="4"/>
        <item x="7"/>
        <item x="0"/>
        <item x="1"/>
        <item x="3"/>
        <item x="2"/>
        <item x="5"/>
        <item x="6"/>
        <item x="8"/>
        <item t="default"/>
      </items>
    </pivotField>
    <pivotField numFmtId="1" showAll="0"/>
    <pivotField numFmtId="166" showAll="0"/>
    <pivotField dataField="1" numFmtId="166" showAll="0"/>
    <pivotField numFmtId="166"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Sales_Amount" fld="12" baseField="0" baseItem="0"/>
  </dataFields>
  <conditionalFormats count="1">
    <conditionalFormat priority="1">
      <pivotAreas count="1">
        <pivotArea type="data" collapsedLevelsAreSubtotals="1" fieldPosition="0">
          <references count="2">
            <reference field="4294967294" count="1" selected="0">
              <x v="0"/>
            </reference>
            <reference field="16" count="12">
              <x v="1"/>
              <x v="2"/>
              <x v="3"/>
              <x v="4"/>
              <x v="5"/>
              <x v="6"/>
              <x v="7"/>
              <x v="8"/>
              <x v="9"/>
              <x v="10"/>
              <x v="11"/>
              <x v="12"/>
            </reference>
          </references>
        </pivotArea>
      </pivotAreas>
    </conditionalFormat>
  </conditionalFormats>
  <chartFormats count="5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6" count="1" selected="0">
            <x v="12"/>
          </reference>
        </references>
      </pivotArea>
    </chartFormat>
    <chartFormat chart="4" format="2">
      <pivotArea type="data" outline="0" fieldPosition="0">
        <references count="2">
          <reference field="4294967294" count="1" selected="0">
            <x v="0"/>
          </reference>
          <reference field="16" count="1" selected="0">
            <x v="11"/>
          </reference>
        </references>
      </pivotArea>
    </chartFormat>
    <chartFormat chart="4" format="3">
      <pivotArea type="data" outline="0" fieldPosition="0">
        <references count="2">
          <reference field="4294967294" count="1" selected="0">
            <x v="0"/>
          </reference>
          <reference field="16" count="1" selected="0">
            <x v="10"/>
          </reference>
        </references>
      </pivotArea>
    </chartFormat>
    <chartFormat chart="4" format="4">
      <pivotArea type="data" outline="0" fieldPosition="0">
        <references count="2">
          <reference field="4294967294" count="1" selected="0">
            <x v="0"/>
          </reference>
          <reference field="16" count="1" selected="0">
            <x v="9"/>
          </reference>
        </references>
      </pivotArea>
    </chartFormat>
    <chartFormat chart="4" format="5">
      <pivotArea type="data" outline="0" fieldPosition="0">
        <references count="2">
          <reference field="4294967294" count="1" selected="0">
            <x v="0"/>
          </reference>
          <reference field="16" count="1" selected="0">
            <x v="8"/>
          </reference>
        </references>
      </pivotArea>
    </chartFormat>
    <chartFormat chart="4" format="6">
      <pivotArea type="data" outline="0" fieldPosition="0">
        <references count="2">
          <reference field="4294967294" count="1" selected="0">
            <x v="0"/>
          </reference>
          <reference field="16" count="1" selected="0">
            <x v="7"/>
          </reference>
        </references>
      </pivotArea>
    </chartFormat>
    <chartFormat chart="4" format="7">
      <pivotArea type="data" outline="0" fieldPosition="0">
        <references count="2">
          <reference field="4294967294" count="1" selected="0">
            <x v="0"/>
          </reference>
          <reference field="16" count="1" selected="0">
            <x v="5"/>
          </reference>
        </references>
      </pivotArea>
    </chartFormat>
    <chartFormat chart="4" format="8">
      <pivotArea type="data" outline="0" fieldPosition="0">
        <references count="2">
          <reference field="4294967294" count="1" selected="0">
            <x v="0"/>
          </reference>
          <reference field="16" count="1" selected="0">
            <x v="6"/>
          </reference>
        </references>
      </pivotArea>
    </chartFormat>
    <chartFormat chart="4" format="9">
      <pivotArea type="data" outline="0" fieldPosition="0">
        <references count="2">
          <reference field="4294967294" count="1" selected="0">
            <x v="0"/>
          </reference>
          <reference field="16" count="1" selected="0">
            <x v="4"/>
          </reference>
        </references>
      </pivotArea>
    </chartFormat>
    <chartFormat chart="4" format="10">
      <pivotArea type="data" outline="0" fieldPosition="0">
        <references count="2">
          <reference field="4294967294" count="1" selected="0">
            <x v="0"/>
          </reference>
          <reference field="16" count="1" selected="0">
            <x v="3"/>
          </reference>
        </references>
      </pivotArea>
    </chartFormat>
    <chartFormat chart="4" format="11">
      <pivotArea type="data" outline="0" fieldPosition="0">
        <references count="2">
          <reference field="4294967294" count="1" selected="0">
            <x v="0"/>
          </reference>
          <reference field="16" count="1" selected="0">
            <x v="2"/>
          </reference>
        </references>
      </pivotArea>
    </chartFormat>
    <chartFormat chart="4" format="12">
      <pivotArea type="data" outline="0" fieldPosition="0">
        <references count="2">
          <reference field="4294967294" count="1" selected="0">
            <x v="0"/>
          </reference>
          <reference field="16" count="1" selected="0">
            <x v="1"/>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6" count="1" selected="0">
            <x v="1"/>
          </reference>
        </references>
      </pivotArea>
    </chartFormat>
    <chartFormat chart="6" format="15">
      <pivotArea type="data" outline="0" fieldPosition="0">
        <references count="2">
          <reference field="4294967294" count="1" selected="0">
            <x v="0"/>
          </reference>
          <reference field="16" count="1" selected="0">
            <x v="2"/>
          </reference>
        </references>
      </pivotArea>
    </chartFormat>
    <chartFormat chart="6" format="16">
      <pivotArea type="data" outline="0" fieldPosition="0">
        <references count="2">
          <reference field="4294967294" count="1" selected="0">
            <x v="0"/>
          </reference>
          <reference field="16" count="1" selected="0">
            <x v="3"/>
          </reference>
        </references>
      </pivotArea>
    </chartFormat>
    <chartFormat chart="6" format="17">
      <pivotArea type="data" outline="0" fieldPosition="0">
        <references count="2">
          <reference field="4294967294" count="1" selected="0">
            <x v="0"/>
          </reference>
          <reference field="16" count="1" selected="0">
            <x v="4"/>
          </reference>
        </references>
      </pivotArea>
    </chartFormat>
    <chartFormat chart="6" format="18">
      <pivotArea type="data" outline="0" fieldPosition="0">
        <references count="2">
          <reference field="4294967294" count="1" selected="0">
            <x v="0"/>
          </reference>
          <reference field="16" count="1" selected="0">
            <x v="5"/>
          </reference>
        </references>
      </pivotArea>
    </chartFormat>
    <chartFormat chart="6" format="19">
      <pivotArea type="data" outline="0" fieldPosition="0">
        <references count="2">
          <reference field="4294967294" count="1" selected="0">
            <x v="0"/>
          </reference>
          <reference field="16" count="1" selected="0">
            <x v="6"/>
          </reference>
        </references>
      </pivotArea>
    </chartFormat>
    <chartFormat chart="6" format="20">
      <pivotArea type="data" outline="0" fieldPosition="0">
        <references count="2">
          <reference field="4294967294" count="1" selected="0">
            <x v="0"/>
          </reference>
          <reference field="16" count="1" selected="0">
            <x v="7"/>
          </reference>
        </references>
      </pivotArea>
    </chartFormat>
    <chartFormat chart="6" format="21">
      <pivotArea type="data" outline="0" fieldPosition="0">
        <references count="2">
          <reference field="4294967294" count="1" selected="0">
            <x v="0"/>
          </reference>
          <reference field="16" count="1" selected="0">
            <x v="8"/>
          </reference>
        </references>
      </pivotArea>
    </chartFormat>
    <chartFormat chart="6" format="22">
      <pivotArea type="data" outline="0" fieldPosition="0">
        <references count="2">
          <reference field="4294967294" count="1" selected="0">
            <x v="0"/>
          </reference>
          <reference field="16" count="1" selected="0">
            <x v="9"/>
          </reference>
        </references>
      </pivotArea>
    </chartFormat>
    <chartFormat chart="6" format="23">
      <pivotArea type="data" outline="0" fieldPosition="0">
        <references count="2">
          <reference field="4294967294" count="1" selected="0">
            <x v="0"/>
          </reference>
          <reference field="16" count="1" selected="0">
            <x v="10"/>
          </reference>
        </references>
      </pivotArea>
    </chartFormat>
    <chartFormat chart="6" format="24">
      <pivotArea type="data" outline="0" fieldPosition="0">
        <references count="2">
          <reference field="4294967294" count="1" selected="0">
            <x v="0"/>
          </reference>
          <reference field="16" count="1" selected="0">
            <x v="11"/>
          </reference>
        </references>
      </pivotArea>
    </chartFormat>
    <chartFormat chart="6" format="25">
      <pivotArea type="data" outline="0" fieldPosition="0">
        <references count="2">
          <reference field="4294967294" count="1" selected="0">
            <x v="0"/>
          </reference>
          <reference field="16" count="1" selected="0">
            <x v="12"/>
          </reference>
        </references>
      </pivotArea>
    </chartFormat>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16" count="1" selected="0">
            <x v="1"/>
          </reference>
        </references>
      </pivotArea>
    </chartFormat>
    <chartFormat chart="7" format="28">
      <pivotArea type="data" outline="0" fieldPosition="0">
        <references count="2">
          <reference field="4294967294" count="1" selected="0">
            <x v="0"/>
          </reference>
          <reference field="16" count="1" selected="0">
            <x v="2"/>
          </reference>
        </references>
      </pivotArea>
    </chartFormat>
    <chartFormat chart="7" format="29">
      <pivotArea type="data" outline="0" fieldPosition="0">
        <references count="2">
          <reference field="4294967294" count="1" selected="0">
            <x v="0"/>
          </reference>
          <reference field="16" count="1" selected="0">
            <x v="3"/>
          </reference>
        </references>
      </pivotArea>
    </chartFormat>
    <chartFormat chart="7" format="30">
      <pivotArea type="data" outline="0" fieldPosition="0">
        <references count="2">
          <reference field="4294967294" count="1" selected="0">
            <x v="0"/>
          </reference>
          <reference field="16" count="1" selected="0">
            <x v="4"/>
          </reference>
        </references>
      </pivotArea>
    </chartFormat>
    <chartFormat chart="7" format="31">
      <pivotArea type="data" outline="0" fieldPosition="0">
        <references count="2">
          <reference field="4294967294" count="1" selected="0">
            <x v="0"/>
          </reference>
          <reference field="16" count="1" selected="0">
            <x v="5"/>
          </reference>
        </references>
      </pivotArea>
    </chartFormat>
    <chartFormat chart="7" format="32">
      <pivotArea type="data" outline="0" fieldPosition="0">
        <references count="2">
          <reference field="4294967294" count="1" selected="0">
            <x v="0"/>
          </reference>
          <reference field="16" count="1" selected="0">
            <x v="6"/>
          </reference>
        </references>
      </pivotArea>
    </chartFormat>
    <chartFormat chart="7" format="33">
      <pivotArea type="data" outline="0" fieldPosition="0">
        <references count="2">
          <reference field="4294967294" count="1" selected="0">
            <x v="0"/>
          </reference>
          <reference field="16" count="1" selected="0">
            <x v="7"/>
          </reference>
        </references>
      </pivotArea>
    </chartFormat>
    <chartFormat chart="7" format="34">
      <pivotArea type="data" outline="0" fieldPosition="0">
        <references count="2">
          <reference field="4294967294" count="1" selected="0">
            <x v="0"/>
          </reference>
          <reference field="16" count="1" selected="0">
            <x v="8"/>
          </reference>
        </references>
      </pivotArea>
    </chartFormat>
    <chartFormat chart="7" format="35">
      <pivotArea type="data" outline="0" fieldPosition="0">
        <references count="2">
          <reference field="4294967294" count="1" selected="0">
            <x v="0"/>
          </reference>
          <reference field="16" count="1" selected="0">
            <x v="9"/>
          </reference>
        </references>
      </pivotArea>
    </chartFormat>
    <chartFormat chart="7" format="36">
      <pivotArea type="data" outline="0" fieldPosition="0">
        <references count="2">
          <reference field="4294967294" count="1" selected="0">
            <x v="0"/>
          </reference>
          <reference field="16" count="1" selected="0">
            <x v="10"/>
          </reference>
        </references>
      </pivotArea>
    </chartFormat>
    <chartFormat chart="7" format="37">
      <pivotArea type="data" outline="0" fieldPosition="0">
        <references count="2">
          <reference field="4294967294" count="1" selected="0">
            <x v="0"/>
          </reference>
          <reference field="16" count="1" selected="0">
            <x v="11"/>
          </reference>
        </references>
      </pivotArea>
    </chartFormat>
    <chartFormat chart="7" format="38">
      <pivotArea type="data" outline="0" fieldPosition="0">
        <references count="2">
          <reference field="4294967294" count="1" selected="0">
            <x v="0"/>
          </reference>
          <reference field="16" count="1" selected="0">
            <x v="12"/>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16" count="1" selected="0">
            <x v="1"/>
          </reference>
        </references>
      </pivotArea>
    </chartFormat>
    <chartFormat chart="8" format="28">
      <pivotArea type="data" outline="0" fieldPosition="0">
        <references count="2">
          <reference field="4294967294" count="1" selected="0">
            <x v="0"/>
          </reference>
          <reference field="16" count="1" selected="0">
            <x v="2"/>
          </reference>
        </references>
      </pivotArea>
    </chartFormat>
    <chartFormat chart="8" format="29">
      <pivotArea type="data" outline="0" fieldPosition="0">
        <references count="2">
          <reference field="4294967294" count="1" selected="0">
            <x v="0"/>
          </reference>
          <reference field="16" count="1" selected="0">
            <x v="3"/>
          </reference>
        </references>
      </pivotArea>
    </chartFormat>
    <chartFormat chart="8" format="30">
      <pivotArea type="data" outline="0" fieldPosition="0">
        <references count="2">
          <reference field="4294967294" count="1" selected="0">
            <x v="0"/>
          </reference>
          <reference field="16" count="1" selected="0">
            <x v="4"/>
          </reference>
        </references>
      </pivotArea>
    </chartFormat>
    <chartFormat chart="8" format="31">
      <pivotArea type="data" outline="0" fieldPosition="0">
        <references count="2">
          <reference field="4294967294" count="1" selected="0">
            <x v="0"/>
          </reference>
          <reference field="16" count="1" selected="0">
            <x v="5"/>
          </reference>
        </references>
      </pivotArea>
    </chartFormat>
    <chartFormat chart="8" format="32">
      <pivotArea type="data" outline="0" fieldPosition="0">
        <references count="2">
          <reference field="4294967294" count="1" selected="0">
            <x v="0"/>
          </reference>
          <reference field="16" count="1" selected="0">
            <x v="6"/>
          </reference>
        </references>
      </pivotArea>
    </chartFormat>
    <chartFormat chart="8" format="33">
      <pivotArea type="data" outline="0" fieldPosition="0">
        <references count="2">
          <reference field="4294967294" count="1" selected="0">
            <x v="0"/>
          </reference>
          <reference field="16" count="1" selected="0">
            <x v="7"/>
          </reference>
        </references>
      </pivotArea>
    </chartFormat>
    <chartFormat chart="8" format="34">
      <pivotArea type="data" outline="0" fieldPosition="0">
        <references count="2">
          <reference field="4294967294" count="1" selected="0">
            <x v="0"/>
          </reference>
          <reference field="16" count="1" selected="0">
            <x v="8"/>
          </reference>
        </references>
      </pivotArea>
    </chartFormat>
    <chartFormat chart="8" format="35">
      <pivotArea type="data" outline="0" fieldPosition="0">
        <references count="2">
          <reference field="4294967294" count="1" selected="0">
            <x v="0"/>
          </reference>
          <reference field="16" count="1" selected="0">
            <x v="9"/>
          </reference>
        </references>
      </pivotArea>
    </chartFormat>
    <chartFormat chart="8" format="36">
      <pivotArea type="data" outline="0" fieldPosition="0">
        <references count="2">
          <reference field="4294967294" count="1" selected="0">
            <x v="0"/>
          </reference>
          <reference field="16" count="1" selected="0">
            <x v="10"/>
          </reference>
        </references>
      </pivotArea>
    </chartFormat>
    <chartFormat chart="8" format="37">
      <pivotArea type="data" outline="0" fieldPosition="0">
        <references count="2">
          <reference field="4294967294" count="1" selected="0">
            <x v="0"/>
          </reference>
          <reference field="16" count="1" selected="0">
            <x v="11"/>
          </reference>
        </references>
      </pivotArea>
    </chartFormat>
    <chartFormat chart="8" format="38">
      <pivotArea type="data" outline="0" fieldPosition="0">
        <references count="2">
          <reference field="4294967294" count="1" selected="0">
            <x v="0"/>
          </reference>
          <reference field="16"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B63714-2706-4DAA-930E-43E1CD332EE6}" name="PivotTable9" cacheId="27"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6">
  <location ref="A3:D9" firstHeaderRow="1" firstDataRow="2" firstDataCol="1"/>
  <pivotFields count="17">
    <pivotField compact="0" outline="0" showAll="0"/>
    <pivotField compact="0" numFmtId="165" outline="0" showAll="0">
      <items count="182">
        <item x="49"/>
        <item x="128"/>
        <item x="98"/>
        <item x="168"/>
        <item x="140"/>
        <item x="14"/>
        <item x="44"/>
        <item x="74"/>
        <item x="171"/>
        <item x="158"/>
        <item x="57"/>
        <item x="65"/>
        <item x="155"/>
        <item x="118"/>
        <item x="47"/>
        <item x="40"/>
        <item x="73"/>
        <item x="122"/>
        <item x="7"/>
        <item x="8"/>
        <item x="82"/>
        <item x="12"/>
        <item x="54"/>
        <item x="131"/>
        <item x="127"/>
        <item x="170"/>
        <item x="138"/>
        <item x="157"/>
        <item x="4"/>
        <item x="117"/>
        <item x="136"/>
        <item x="38"/>
        <item x="159"/>
        <item x="172"/>
        <item x="84"/>
        <item x="109"/>
        <item x="3"/>
        <item x="71"/>
        <item x="81"/>
        <item x="149"/>
        <item x="177"/>
        <item x="105"/>
        <item x="70"/>
        <item x="103"/>
        <item x="108"/>
        <item x="176"/>
        <item x="29"/>
        <item x="161"/>
        <item x="80"/>
        <item x="141"/>
        <item x="180"/>
        <item x="23"/>
        <item x="60"/>
        <item x="34"/>
        <item x="1"/>
        <item x="46"/>
        <item x="119"/>
        <item x="144"/>
        <item x="41"/>
        <item x="20"/>
        <item x="145"/>
        <item x="167"/>
        <item x="56"/>
        <item x="134"/>
        <item x="27"/>
        <item x="6"/>
        <item x="45"/>
        <item x="95"/>
        <item x="64"/>
        <item x="99"/>
        <item x="169"/>
        <item x="114"/>
        <item x="165"/>
        <item x="9"/>
        <item x="179"/>
        <item x="88"/>
        <item x="77"/>
        <item x="147"/>
        <item x="68"/>
        <item x="58"/>
        <item x="125"/>
        <item x="76"/>
        <item x="112"/>
        <item x="52"/>
        <item x="107"/>
        <item x="0"/>
        <item x="91"/>
        <item x="120"/>
        <item x="63"/>
        <item x="154"/>
        <item x="152"/>
        <item x="22"/>
        <item x="174"/>
        <item x="146"/>
        <item x="50"/>
        <item x="111"/>
        <item x="148"/>
        <item x="100"/>
        <item x="126"/>
        <item x="142"/>
        <item x="164"/>
        <item x="83"/>
        <item x="48"/>
        <item x="89"/>
        <item x="24"/>
        <item x="163"/>
        <item x="173"/>
        <item x="25"/>
        <item x="102"/>
        <item x="101"/>
        <item x="13"/>
        <item x="143"/>
        <item x="39"/>
        <item x="36"/>
        <item x="153"/>
        <item x="94"/>
        <item x="175"/>
        <item x="10"/>
        <item x="33"/>
        <item x="32"/>
        <item x="139"/>
        <item x="133"/>
        <item x="17"/>
        <item x="35"/>
        <item x="59"/>
        <item x="96"/>
        <item x="116"/>
        <item x="15"/>
        <item x="104"/>
        <item x="62"/>
        <item x="11"/>
        <item x="53"/>
        <item x="156"/>
        <item x="55"/>
        <item x="51"/>
        <item x="66"/>
        <item x="90"/>
        <item x="129"/>
        <item x="28"/>
        <item x="21"/>
        <item x="178"/>
        <item x="19"/>
        <item x="121"/>
        <item x="93"/>
        <item x="85"/>
        <item x="166"/>
        <item x="67"/>
        <item x="37"/>
        <item x="31"/>
        <item x="2"/>
        <item x="72"/>
        <item x="97"/>
        <item x="110"/>
        <item x="87"/>
        <item x="16"/>
        <item x="42"/>
        <item x="86"/>
        <item x="43"/>
        <item x="61"/>
        <item x="124"/>
        <item x="130"/>
        <item x="115"/>
        <item x="132"/>
        <item x="26"/>
        <item x="69"/>
        <item x="135"/>
        <item x="160"/>
        <item x="79"/>
        <item x="162"/>
        <item x="106"/>
        <item x="151"/>
        <item x="5"/>
        <item x="30"/>
        <item x="150"/>
        <item x="18"/>
        <item x="137"/>
        <item x="75"/>
        <item x="78"/>
        <item x="113"/>
        <item x="92"/>
        <item x="123"/>
        <item t="default"/>
      </items>
    </pivotField>
    <pivotField compact="0" outline="0" showAll="0"/>
    <pivotField axis="axisRow" compact="0" outline="0" showAll="0">
      <items count="5">
        <item x="3"/>
        <item x="0"/>
        <item x="2"/>
        <item x="1"/>
        <item t="default"/>
      </items>
    </pivotField>
    <pivotField compact="0" outline="0" showAll="0">
      <items count="12">
        <item x="5"/>
        <item x="10"/>
        <item x="4"/>
        <item x="7"/>
        <item x="1"/>
        <item x="3"/>
        <item x="0"/>
        <item x="2"/>
        <item x="6"/>
        <item x="9"/>
        <item x="8"/>
        <item t="default"/>
      </items>
    </pivotField>
    <pivotField compact="0" outline="0" showAll="0"/>
    <pivotField compact="0" outline="0" showAll="0"/>
    <pivotField compact="0" outline="0" showAll="0"/>
    <pivotField axis="axisCol" compact="0" outline="0" showAll="0">
      <items count="4">
        <item x="0"/>
        <item x="1"/>
        <item x="2"/>
        <item t="default"/>
      </items>
    </pivotField>
    <pivotField compact="0" outline="0" showAll="0"/>
    <pivotField compact="0" numFmtId="1" outline="0" showAll="0"/>
    <pivotField compact="0" numFmtId="166" outline="0" showAll="0"/>
    <pivotField compact="0" numFmtId="166" outline="0" showAll="0"/>
    <pivotField compact="0" numFmtId="166" outline="0" showAll="0"/>
    <pivotField dataField="1" compact="0" numFmtId="166"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Fields count="1">
    <field x="8"/>
  </colFields>
  <colItems count="3">
    <i>
      <x/>
    </i>
    <i>
      <x v="1"/>
    </i>
    <i>
      <x v="2"/>
    </i>
  </colItems>
  <dataFields count="1">
    <dataField name="Sum of Profit_Amount" fld="14" baseField="0" baseItem="0"/>
  </dataFields>
  <chartFormats count="6">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2">
          <reference field="4294967294" count="1" selected="0">
            <x v="0"/>
          </reference>
          <reference field="8" count="1" selected="0">
            <x v="1"/>
          </reference>
        </references>
      </pivotArea>
    </chartFormat>
    <chartFormat chart="5" format="7" series="1">
      <pivotArea type="data" outline="0" fieldPosition="0">
        <references count="2">
          <reference field="4294967294" count="1" selected="0">
            <x v="0"/>
          </reference>
          <reference field="8" count="1" selected="0">
            <x v="2"/>
          </reference>
        </references>
      </pivotArea>
    </chartFormat>
    <chartFormat chart="0" format="4" series="1">
      <pivotArea type="data" outline="0" fieldPosition="0">
        <references count="2">
          <reference field="4294967294" count="1" selected="0">
            <x v="0"/>
          </reference>
          <reference field="8" count="1" selected="0">
            <x v="1"/>
          </reference>
        </references>
      </pivotArea>
    </chartFormat>
    <chartFormat chart="0" format="5" series="1">
      <pivotArea type="data" outline="0" fieldPosition="0">
        <references count="2">
          <reference field="4294967294" count="1" selected="0">
            <x v="0"/>
          </reference>
          <reference field="8" count="1" selected="0">
            <x v="2"/>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C0AB913-379F-4B46-89CB-7C48E450C639}" sourceName="State">
  <pivotTables>
    <pivotTable tabId="4" name="PivotTable8"/>
    <pivotTable tabId="6" name="PivotTable9"/>
  </pivotTables>
  <data>
    <tabular pivotCacheId="358504593">
      <items count="11">
        <i x="5" s="1"/>
        <i x="10" s="1"/>
        <i x="4" s="1"/>
        <i x="7" s="1"/>
        <i x="1" s="1"/>
        <i x="3" s="1"/>
        <i x="0" s="1"/>
        <i x="2" s="1"/>
        <i x="6" s="1"/>
        <i x="9"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7B42EDC-CA46-49F5-99CC-6F3122133819}" sourceName="Salesperson">
  <pivotTables>
    <pivotTable tabId="4" name="PivotTable8"/>
  </pivotTables>
  <data>
    <tabular pivotCacheId="358504593">
      <items count="8">
        <i x="0"/>
        <i x="5"/>
        <i x="3" s="1"/>
        <i x="4"/>
        <i x="7"/>
        <i x="2"/>
        <i x="6"/>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3EE3DBE-B2A4-440E-9F8C-8A72BD5F97F6}" cache="Slicer_State" caption="State" style="SlicerStyleLight2" rowHeight="234950"/>
  <slicer name="Salesperson" xr10:uid="{C00D997A-F935-47EA-A06C-1C31F134D91D}" cache="Slicer_Salesperson" caption="Salesperson"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3654AB-998E-415A-A3AF-A3AB63AA8EFA}" name="Table1" displayName="Table1" ref="A1:O16" totalsRowShown="0">
  <autoFilter ref="A1:O16" xr:uid="{833654AB-998E-415A-A3AF-A3AB63AA8EFA}"/>
  <tableColumns count="15">
    <tableColumn id="1" xr3:uid="{43D64285-CFBC-4734-B01E-4D31DBD5F0E5}" name="Order_ID"/>
    <tableColumn id="2" xr3:uid="{7E401D36-AD4C-45E2-AF98-CE9CFD3CC67A}" name="Order_Date" dataDxfId="0"/>
    <tableColumn id="3" xr3:uid="{CFD40BD8-443A-4ECD-89A8-A974477D7F59}" name="Month"/>
    <tableColumn id="4" xr3:uid="{782FA090-6CD2-44D4-B096-72EFADFE91C7}" name="Region"/>
    <tableColumn id="5" xr3:uid="{48ECB45A-C018-49C5-9058-E7DB969747AB}" name="State"/>
    <tableColumn id="6" xr3:uid="{15307C50-0A93-4A76-A88C-5C19EE042073}" name="City"/>
    <tableColumn id="7" xr3:uid="{901418A3-BC82-4D3E-B2AF-35F041A591B0}" name="Salesperson"/>
    <tableColumn id="8" xr3:uid="{D926785C-CD55-4141-A8F4-2395FB153C62}" name="Customer_Segment"/>
    <tableColumn id="9" xr3:uid="{9070F7F8-12EE-40A4-B35D-5FAC3B8EC7F1}" name="Product_Category"/>
    <tableColumn id="10" xr3:uid="{E511C679-6EC6-4F03-824A-C238073A3040}" name="Product"/>
    <tableColumn id="11" xr3:uid="{8F67F5BE-C743-42F2-B175-93BC8340C651}" name="Units"/>
    <tableColumn id="12" xr3:uid="{3AC21F28-2C61-4F40-A7D8-A10531467A2B}" name="Unit_Price"/>
    <tableColumn id="13" xr3:uid="{C883EF08-850E-4688-8F87-93BDD943FD1A}" name="Sales_Amount"/>
    <tableColumn id="14" xr3:uid="{0FDB1B4A-6C04-4D0D-813E-C2237ACBDAB5}" name="Cost_Amount"/>
    <tableColumn id="15" xr3:uid="{BB38EC90-49E9-4561-9584-EEB7A3F22832}" name="Profit_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361839B-3A60-4A1B-A213-4D3F4A7C2D88}" sourceName="Order_Date">
  <pivotTables>
    <pivotTable tabId="4" name="PivotTable8"/>
  </pivotTables>
  <state minimalRefreshVersion="6" lastRefreshVersion="6" pivotCacheId="358504593"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3B59D1B-FC11-48ED-8702-132F22FB1B68}" cache="NativeTimeline_Order_Date" caption="Order_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C10DC-991F-4B90-8232-AC97AFB6E28A}">
  <dimension ref="A1:O16"/>
  <sheetViews>
    <sheetView workbookViewId="0">
      <selection activeCell="F3" sqref="F3"/>
    </sheetView>
  </sheetViews>
  <sheetFormatPr defaultRowHeight="14.4" x14ac:dyDescent="0.3"/>
  <cols>
    <col min="1" max="1" width="10.77734375" bestFit="1" customWidth="1"/>
    <col min="2" max="2" width="12.88671875" bestFit="1" customWidth="1"/>
    <col min="3" max="3" width="9.21875" bestFit="1" customWidth="1"/>
    <col min="4" max="4" width="9" bestFit="1" customWidth="1"/>
    <col min="5" max="5" width="12.21875" bestFit="1" customWidth="1"/>
    <col min="6" max="6" width="8.21875" bestFit="1" customWidth="1"/>
    <col min="7" max="7" width="13.21875" bestFit="1" customWidth="1"/>
    <col min="8" max="8" width="20" bestFit="1" customWidth="1"/>
    <col min="9" max="9" width="18.5546875" bestFit="1" customWidth="1"/>
    <col min="10" max="10" width="11.5546875" bestFit="1" customWidth="1"/>
    <col min="11" max="11" width="7.5546875" bestFit="1" customWidth="1"/>
    <col min="12" max="12" width="11.88671875" bestFit="1" customWidth="1"/>
    <col min="13" max="13" width="15.44140625" bestFit="1" customWidth="1"/>
    <col min="14" max="14" width="14.77734375" bestFit="1" customWidth="1"/>
    <col min="15" max="15" width="15.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313</v>
      </c>
      <c r="B2" s="33">
        <v>45750</v>
      </c>
      <c r="C2" t="s">
        <v>25</v>
      </c>
      <c r="D2" t="s">
        <v>17</v>
      </c>
      <c r="E2" t="s">
        <v>92</v>
      </c>
      <c r="F2" t="s">
        <v>93</v>
      </c>
      <c r="G2" t="s">
        <v>42</v>
      </c>
      <c r="H2" t="s">
        <v>21</v>
      </c>
      <c r="I2" t="s">
        <v>22</v>
      </c>
      <c r="J2" t="s">
        <v>23</v>
      </c>
      <c r="K2">
        <v>2</v>
      </c>
      <c r="L2">
        <v>1276.08</v>
      </c>
      <c r="M2">
        <v>2552.16</v>
      </c>
      <c r="N2">
        <v>1432.32</v>
      </c>
      <c r="O2">
        <v>1119.8399999999999</v>
      </c>
    </row>
    <row r="3" spans="1:15" x14ac:dyDescent="0.3">
      <c r="A3" t="s">
        <v>311</v>
      </c>
      <c r="B3" s="33">
        <v>45808</v>
      </c>
      <c r="C3" t="s">
        <v>56</v>
      </c>
      <c r="D3" t="s">
        <v>17</v>
      </c>
      <c r="E3" t="s">
        <v>92</v>
      </c>
      <c r="F3" t="s">
        <v>93</v>
      </c>
      <c r="G3" t="s">
        <v>20</v>
      </c>
      <c r="H3" t="s">
        <v>30</v>
      </c>
      <c r="I3" t="s">
        <v>22</v>
      </c>
      <c r="J3" t="s">
        <v>36</v>
      </c>
      <c r="K3">
        <v>9</v>
      </c>
      <c r="L3">
        <v>855.92</v>
      </c>
      <c r="M3">
        <v>7703.28</v>
      </c>
      <c r="N3">
        <v>4275.8999999999996</v>
      </c>
      <c r="O3">
        <v>3427.38</v>
      </c>
    </row>
    <row r="4" spans="1:15" x14ac:dyDescent="0.3">
      <c r="A4" t="s">
        <v>296</v>
      </c>
      <c r="B4" s="33">
        <v>45675</v>
      </c>
      <c r="C4" t="s">
        <v>78</v>
      </c>
      <c r="D4" t="s">
        <v>17</v>
      </c>
      <c r="E4" t="s">
        <v>92</v>
      </c>
      <c r="F4" t="s">
        <v>93</v>
      </c>
      <c r="G4" t="s">
        <v>52</v>
      </c>
      <c r="H4" t="s">
        <v>35</v>
      </c>
      <c r="I4" t="s">
        <v>22</v>
      </c>
      <c r="J4" t="s">
        <v>23</v>
      </c>
      <c r="K4">
        <v>5</v>
      </c>
      <c r="L4">
        <v>1282.5899999999999</v>
      </c>
      <c r="M4">
        <v>6412.95</v>
      </c>
      <c r="N4">
        <v>3422.95</v>
      </c>
      <c r="O4">
        <v>2990</v>
      </c>
    </row>
    <row r="5" spans="1:15" x14ac:dyDescent="0.3">
      <c r="A5" t="s">
        <v>272</v>
      </c>
      <c r="B5" s="33">
        <v>45811</v>
      </c>
      <c r="C5" t="s">
        <v>16</v>
      </c>
      <c r="D5" t="s">
        <v>17</v>
      </c>
      <c r="E5" t="s">
        <v>92</v>
      </c>
      <c r="F5" t="s">
        <v>93</v>
      </c>
      <c r="G5" t="s">
        <v>46</v>
      </c>
      <c r="H5" t="s">
        <v>21</v>
      </c>
      <c r="I5" t="s">
        <v>53</v>
      </c>
      <c r="J5" t="s">
        <v>64</v>
      </c>
      <c r="K5">
        <v>9</v>
      </c>
      <c r="L5">
        <v>9565.56</v>
      </c>
      <c r="M5">
        <v>86090.04</v>
      </c>
      <c r="N5">
        <v>56053.35</v>
      </c>
      <c r="O5">
        <v>30036.69</v>
      </c>
    </row>
    <row r="6" spans="1:15" x14ac:dyDescent="0.3">
      <c r="A6" t="s">
        <v>248</v>
      </c>
      <c r="B6" s="33">
        <v>46016</v>
      </c>
      <c r="C6" t="s">
        <v>48</v>
      </c>
      <c r="D6" t="s">
        <v>17</v>
      </c>
      <c r="E6" t="s">
        <v>92</v>
      </c>
      <c r="F6" t="s">
        <v>93</v>
      </c>
      <c r="G6" t="s">
        <v>42</v>
      </c>
      <c r="H6" t="s">
        <v>35</v>
      </c>
      <c r="I6" t="s">
        <v>31</v>
      </c>
      <c r="J6" t="s">
        <v>86</v>
      </c>
      <c r="K6">
        <v>7</v>
      </c>
      <c r="L6">
        <v>17585.14</v>
      </c>
      <c r="M6">
        <v>123095.98</v>
      </c>
      <c r="N6">
        <v>92167.32</v>
      </c>
      <c r="O6">
        <v>30928.66</v>
      </c>
    </row>
    <row r="7" spans="1:15" x14ac:dyDescent="0.3">
      <c r="A7" t="s">
        <v>246</v>
      </c>
      <c r="B7" s="33">
        <v>46013</v>
      </c>
      <c r="C7" t="s">
        <v>48</v>
      </c>
      <c r="D7" t="s">
        <v>17</v>
      </c>
      <c r="E7" t="s">
        <v>92</v>
      </c>
      <c r="F7" t="s">
        <v>93</v>
      </c>
      <c r="G7" t="s">
        <v>59</v>
      </c>
      <c r="H7" t="s">
        <v>30</v>
      </c>
      <c r="I7" t="s">
        <v>31</v>
      </c>
      <c r="J7" t="s">
        <v>32</v>
      </c>
      <c r="K7">
        <v>5</v>
      </c>
      <c r="L7">
        <v>53068.93</v>
      </c>
      <c r="M7">
        <v>265344.65000000002</v>
      </c>
      <c r="N7">
        <v>203046.6</v>
      </c>
      <c r="O7">
        <v>62298.05</v>
      </c>
    </row>
    <row r="8" spans="1:15" x14ac:dyDescent="0.3">
      <c r="A8" t="s">
        <v>190</v>
      </c>
      <c r="B8" s="33">
        <v>45939</v>
      </c>
      <c r="C8" t="s">
        <v>34</v>
      </c>
      <c r="D8" t="s">
        <v>17</v>
      </c>
      <c r="E8" t="s">
        <v>92</v>
      </c>
      <c r="F8" t="s">
        <v>93</v>
      </c>
      <c r="G8" t="s">
        <v>46</v>
      </c>
      <c r="H8" t="s">
        <v>35</v>
      </c>
      <c r="I8" t="s">
        <v>31</v>
      </c>
      <c r="J8" t="s">
        <v>86</v>
      </c>
      <c r="K8">
        <v>12</v>
      </c>
      <c r="L8">
        <v>17472.150000000001</v>
      </c>
      <c r="M8">
        <v>209665.8</v>
      </c>
      <c r="N8">
        <v>163616.51999999999</v>
      </c>
      <c r="O8">
        <v>46049.279999999999</v>
      </c>
    </row>
    <row r="9" spans="1:15" x14ac:dyDescent="0.3">
      <c r="A9" t="s">
        <v>184</v>
      </c>
      <c r="B9" s="33">
        <v>45786</v>
      </c>
      <c r="C9" t="s">
        <v>56</v>
      </c>
      <c r="D9" t="s">
        <v>17</v>
      </c>
      <c r="E9" t="s">
        <v>92</v>
      </c>
      <c r="F9" t="s">
        <v>93</v>
      </c>
      <c r="G9" t="s">
        <v>85</v>
      </c>
      <c r="H9" t="s">
        <v>35</v>
      </c>
      <c r="I9" t="s">
        <v>31</v>
      </c>
      <c r="J9" t="s">
        <v>43</v>
      </c>
      <c r="K9">
        <v>8</v>
      </c>
      <c r="L9">
        <v>12943.72</v>
      </c>
      <c r="M9">
        <v>103549.75999999999</v>
      </c>
      <c r="N9">
        <v>61454.96</v>
      </c>
      <c r="O9">
        <v>42094.8</v>
      </c>
    </row>
    <row r="10" spans="1:15" x14ac:dyDescent="0.3">
      <c r="A10" t="s">
        <v>178</v>
      </c>
      <c r="B10" s="33">
        <v>46012</v>
      </c>
      <c r="C10" t="s">
        <v>48</v>
      </c>
      <c r="D10" t="s">
        <v>17</v>
      </c>
      <c r="E10" t="s">
        <v>92</v>
      </c>
      <c r="F10" t="s">
        <v>93</v>
      </c>
      <c r="G10" t="s">
        <v>85</v>
      </c>
      <c r="H10" t="s">
        <v>30</v>
      </c>
      <c r="I10" t="s">
        <v>53</v>
      </c>
      <c r="J10" t="s">
        <v>54</v>
      </c>
      <c r="K10">
        <v>6</v>
      </c>
      <c r="L10">
        <v>11523.32</v>
      </c>
      <c r="M10">
        <v>69139.92</v>
      </c>
      <c r="N10">
        <v>46036.44</v>
      </c>
      <c r="O10">
        <v>23103.48</v>
      </c>
    </row>
    <row r="11" spans="1:15" x14ac:dyDescent="0.3">
      <c r="A11" t="s">
        <v>161</v>
      </c>
      <c r="B11" s="33">
        <v>45813</v>
      </c>
      <c r="C11" t="s">
        <v>16</v>
      </c>
      <c r="D11" t="s">
        <v>17</v>
      </c>
      <c r="E11" t="s">
        <v>92</v>
      </c>
      <c r="F11" t="s">
        <v>93</v>
      </c>
      <c r="G11" t="s">
        <v>59</v>
      </c>
      <c r="H11" t="s">
        <v>35</v>
      </c>
      <c r="I11" t="s">
        <v>22</v>
      </c>
      <c r="J11" t="s">
        <v>36</v>
      </c>
      <c r="K11">
        <v>12</v>
      </c>
      <c r="L11">
        <v>940.12</v>
      </c>
      <c r="M11">
        <v>11281.44</v>
      </c>
      <c r="N11">
        <v>5759.64</v>
      </c>
      <c r="O11">
        <v>5521.8</v>
      </c>
    </row>
    <row r="12" spans="1:15" x14ac:dyDescent="0.3">
      <c r="A12" t="s">
        <v>150</v>
      </c>
      <c r="B12" s="33">
        <v>45939</v>
      </c>
      <c r="C12" t="s">
        <v>34</v>
      </c>
      <c r="D12" t="s">
        <v>17</v>
      </c>
      <c r="E12" t="s">
        <v>92</v>
      </c>
      <c r="F12" t="s">
        <v>93</v>
      </c>
      <c r="G12" t="s">
        <v>46</v>
      </c>
      <c r="H12" t="s">
        <v>21</v>
      </c>
      <c r="I12" t="s">
        <v>22</v>
      </c>
      <c r="J12" t="s">
        <v>36</v>
      </c>
      <c r="K12">
        <v>8</v>
      </c>
      <c r="L12">
        <v>920.01</v>
      </c>
      <c r="M12">
        <v>7360.08</v>
      </c>
      <c r="N12">
        <v>3855.44</v>
      </c>
      <c r="O12">
        <v>3504.64</v>
      </c>
    </row>
    <row r="13" spans="1:15" x14ac:dyDescent="0.3">
      <c r="A13" t="s">
        <v>134</v>
      </c>
      <c r="B13" s="33">
        <v>45916</v>
      </c>
      <c r="C13" t="s">
        <v>74</v>
      </c>
      <c r="D13" t="s">
        <v>17</v>
      </c>
      <c r="E13" t="s">
        <v>92</v>
      </c>
      <c r="F13" t="s">
        <v>93</v>
      </c>
      <c r="G13" t="s">
        <v>20</v>
      </c>
      <c r="H13" t="s">
        <v>35</v>
      </c>
      <c r="I13" t="s">
        <v>22</v>
      </c>
      <c r="J13" t="s">
        <v>68</v>
      </c>
      <c r="K13">
        <v>11</v>
      </c>
      <c r="L13">
        <v>2683.53</v>
      </c>
      <c r="M13">
        <v>29518.83</v>
      </c>
      <c r="N13">
        <v>16735.73</v>
      </c>
      <c r="O13">
        <v>12783.1</v>
      </c>
    </row>
    <row r="14" spans="1:15" x14ac:dyDescent="0.3">
      <c r="A14" t="s">
        <v>112</v>
      </c>
      <c r="B14" s="33">
        <v>45897</v>
      </c>
      <c r="C14" t="s">
        <v>70</v>
      </c>
      <c r="D14" t="s">
        <v>17</v>
      </c>
      <c r="E14" t="s">
        <v>92</v>
      </c>
      <c r="F14" t="s">
        <v>93</v>
      </c>
      <c r="G14" t="s">
        <v>46</v>
      </c>
      <c r="H14" t="s">
        <v>30</v>
      </c>
      <c r="I14" t="s">
        <v>53</v>
      </c>
      <c r="J14" t="s">
        <v>61</v>
      </c>
      <c r="K14">
        <v>11</v>
      </c>
      <c r="L14">
        <v>6856.63</v>
      </c>
      <c r="M14">
        <v>75422.929999999993</v>
      </c>
      <c r="N14">
        <v>44636.02</v>
      </c>
      <c r="O14">
        <v>30786.91</v>
      </c>
    </row>
    <row r="15" spans="1:15" x14ac:dyDescent="0.3">
      <c r="A15" t="s">
        <v>102</v>
      </c>
      <c r="B15" s="33">
        <v>45896</v>
      </c>
      <c r="C15" t="s">
        <v>70</v>
      </c>
      <c r="D15" t="s">
        <v>17</v>
      </c>
      <c r="E15" t="s">
        <v>92</v>
      </c>
      <c r="F15" t="s">
        <v>93</v>
      </c>
      <c r="G15" t="s">
        <v>52</v>
      </c>
      <c r="H15" t="s">
        <v>35</v>
      </c>
      <c r="I15" t="s">
        <v>53</v>
      </c>
      <c r="J15" t="s">
        <v>61</v>
      </c>
      <c r="K15">
        <v>9</v>
      </c>
      <c r="L15">
        <v>6579.58</v>
      </c>
      <c r="M15">
        <v>59216.22</v>
      </c>
      <c r="N15">
        <v>35990.910000000003</v>
      </c>
      <c r="O15">
        <v>23225.31</v>
      </c>
    </row>
    <row r="16" spans="1:15" x14ac:dyDescent="0.3">
      <c r="A16" t="s">
        <v>91</v>
      </c>
      <c r="B16" s="33">
        <v>46012</v>
      </c>
      <c r="C16" t="s">
        <v>48</v>
      </c>
      <c r="D16" t="s">
        <v>17</v>
      </c>
      <c r="E16" t="s">
        <v>92</v>
      </c>
      <c r="F16" t="s">
        <v>93</v>
      </c>
      <c r="G16" t="s">
        <v>20</v>
      </c>
      <c r="H16" t="s">
        <v>21</v>
      </c>
      <c r="I16" t="s">
        <v>22</v>
      </c>
      <c r="J16" t="s">
        <v>36</v>
      </c>
      <c r="K16">
        <v>3</v>
      </c>
      <c r="L16">
        <v>930.16</v>
      </c>
      <c r="M16">
        <v>2790.48</v>
      </c>
      <c r="N16">
        <v>1562.13</v>
      </c>
      <c r="O16">
        <v>1228.3499999999999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11EF5-CBEC-4619-BCD1-0C9D623BD6A0}">
  <dimension ref="A3:B16"/>
  <sheetViews>
    <sheetView zoomScale="160" zoomScaleNormal="160" workbookViewId="0">
      <selection activeCell="J6" sqref="J6"/>
    </sheetView>
  </sheetViews>
  <sheetFormatPr defaultRowHeight="14.4" x14ac:dyDescent="0.3"/>
  <cols>
    <col min="1" max="1" width="12.5546875" bestFit="1" customWidth="1"/>
    <col min="2" max="2" width="19.77734375" bestFit="1" customWidth="1"/>
    <col min="3" max="3" width="20.21875" bestFit="1" customWidth="1"/>
    <col min="4" max="4" width="12.44140625" bestFit="1" customWidth="1"/>
    <col min="5" max="5" width="8.109375" bestFit="1" customWidth="1"/>
    <col min="6" max="7" width="10.21875" bestFit="1" customWidth="1"/>
    <col min="8" max="8" width="9.109375" bestFit="1" customWidth="1"/>
    <col min="9" max="9" width="9.5546875" bestFit="1" customWidth="1"/>
    <col min="10" max="10" width="9.109375" bestFit="1" customWidth="1"/>
    <col min="11" max="11" width="10.21875" bestFit="1" customWidth="1"/>
    <col min="12" max="12" width="11.21875" bestFit="1" customWidth="1"/>
    <col min="13" max="13" width="7.109375" bestFit="1" customWidth="1"/>
    <col min="14" max="14" width="11.21875" bestFit="1" customWidth="1"/>
  </cols>
  <sheetData>
    <row r="3" spans="1:2" x14ac:dyDescent="0.3">
      <c r="A3" s="30" t="s">
        <v>353</v>
      </c>
      <c r="B3" t="s">
        <v>325</v>
      </c>
    </row>
    <row r="4" spans="1:2" x14ac:dyDescent="0.3">
      <c r="A4" s="31" t="s">
        <v>355</v>
      </c>
      <c r="B4" s="32">
        <v>525943.9</v>
      </c>
    </row>
    <row r="5" spans="1:2" x14ac:dyDescent="0.3">
      <c r="A5" s="31" t="s">
        <v>356</v>
      </c>
      <c r="B5" s="32">
        <v>30193.34</v>
      </c>
    </row>
    <row r="6" spans="1:2" x14ac:dyDescent="0.3">
      <c r="A6" s="31" t="s">
        <v>357</v>
      </c>
      <c r="B6" s="32">
        <v>62538</v>
      </c>
    </row>
    <row r="7" spans="1:2" x14ac:dyDescent="0.3">
      <c r="A7" s="31" t="s">
        <v>358</v>
      </c>
      <c r="B7" s="32">
        <v>346877.58999999997</v>
      </c>
    </row>
    <row r="8" spans="1:2" x14ac:dyDescent="0.3">
      <c r="A8" s="31" t="s">
        <v>359</v>
      </c>
      <c r="B8" s="32">
        <v>444370.02999999997</v>
      </c>
    </row>
    <row r="9" spans="1:2" x14ac:dyDescent="0.3">
      <c r="A9" s="31" t="s">
        <v>360</v>
      </c>
      <c r="B9" s="32">
        <v>103392.56</v>
      </c>
    </row>
    <row r="10" spans="1:2" x14ac:dyDescent="0.3">
      <c r="A10" s="31" t="s">
        <v>361</v>
      </c>
      <c r="B10" s="32">
        <v>145724.64000000001</v>
      </c>
    </row>
    <row r="11" spans="1:2" x14ac:dyDescent="0.3">
      <c r="A11" s="31" t="s">
        <v>362</v>
      </c>
      <c r="B11" s="32">
        <v>117616.97999999998</v>
      </c>
    </row>
    <row r="12" spans="1:2" x14ac:dyDescent="0.3">
      <c r="A12" s="31" t="s">
        <v>363</v>
      </c>
      <c r="B12" s="32">
        <v>62308.1</v>
      </c>
    </row>
    <row r="13" spans="1:2" x14ac:dyDescent="0.3">
      <c r="A13" s="31" t="s">
        <v>366</v>
      </c>
      <c r="B13" s="32">
        <v>223074.3</v>
      </c>
    </row>
    <row r="14" spans="1:2" x14ac:dyDescent="0.3">
      <c r="A14" s="31" t="s">
        <v>364</v>
      </c>
      <c r="B14" s="32">
        <v>21784.2</v>
      </c>
    </row>
    <row r="15" spans="1:2" x14ac:dyDescent="0.3">
      <c r="A15" s="31" t="s">
        <v>365</v>
      </c>
      <c r="B15" s="32">
        <v>13824.69</v>
      </c>
    </row>
    <row r="16" spans="1:2" x14ac:dyDescent="0.3">
      <c r="A16" s="31" t="s">
        <v>354</v>
      </c>
      <c r="B16" s="32">
        <v>2097648.33</v>
      </c>
    </row>
  </sheetData>
  <conditionalFormatting pivot="1" sqref="B4:B15">
    <cfRule type="colorScale" priority="1">
      <colorScale>
        <cfvo type="min"/>
        <cfvo type="percentile" val="50"/>
        <cfvo type="max"/>
        <color rgb="FFF8696B"/>
        <color rgb="FFFCFCFF"/>
        <color rgb="FF63BE7B"/>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7D680-FC8E-4804-A32F-71CB4B199E39}">
  <dimension ref="A3:D9"/>
  <sheetViews>
    <sheetView topLeftCell="A19" zoomScale="190" zoomScaleNormal="190" workbookViewId="0">
      <selection activeCell="E8" sqref="E8"/>
    </sheetView>
  </sheetViews>
  <sheetFormatPr defaultRowHeight="14.4" x14ac:dyDescent="0.3"/>
  <cols>
    <col min="1" max="1" width="20.21875" bestFit="1" customWidth="1"/>
    <col min="2" max="2" width="18.5546875" bestFit="1" customWidth="1"/>
    <col min="3" max="5" width="11.33203125" bestFit="1" customWidth="1"/>
  </cols>
  <sheetData>
    <row r="3" spans="1:4" x14ac:dyDescent="0.3">
      <c r="A3" s="30" t="s">
        <v>330</v>
      </c>
      <c r="B3" s="30" t="s">
        <v>8</v>
      </c>
    </row>
    <row r="4" spans="1:4" x14ac:dyDescent="0.3">
      <c r="A4" s="30" t="s">
        <v>3</v>
      </c>
      <c r="B4" t="s">
        <v>22</v>
      </c>
      <c r="C4" t="s">
        <v>31</v>
      </c>
      <c r="D4" t="s">
        <v>53</v>
      </c>
    </row>
    <row r="5" spans="1:4" x14ac:dyDescent="0.3">
      <c r="A5" t="s">
        <v>49</v>
      </c>
      <c r="B5" s="32">
        <v>56027.45</v>
      </c>
      <c r="C5" s="32">
        <v>1192987.5799999998</v>
      </c>
      <c r="D5" s="32">
        <v>296636.27</v>
      </c>
    </row>
    <row r="6" spans="1:4" x14ac:dyDescent="0.3">
      <c r="A6" t="s">
        <v>17</v>
      </c>
      <c r="B6" s="32">
        <v>101939.64999999998</v>
      </c>
      <c r="C6" s="32">
        <v>697264.8</v>
      </c>
      <c r="D6" s="32">
        <v>381962.78000000009</v>
      </c>
    </row>
    <row r="7" spans="1:4" x14ac:dyDescent="0.3">
      <c r="A7" t="s">
        <v>39</v>
      </c>
      <c r="B7" s="32">
        <v>84804.36</v>
      </c>
      <c r="C7" s="32">
        <v>1101563.6099999999</v>
      </c>
      <c r="D7" s="32">
        <v>371490.26999999996</v>
      </c>
    </row>
    <row r="8" spans="1:4" x14ac:dyDescent="0.3">
      <c r="A8" t="s">
        <v>26</v>
      </c>
      <c r="B8" s="32">
        <v>55665.950000000004</v>
      </c>
      <c r="C8" s="32">
        <v>1040907.16</v>
      </c>
      <c r="D8" s="32">
        <v>459002.34</v>
      </c>
    </row>
    <row r="9" spans="1:4" x14ac:dyDescent="0.3">
      <c r="A9" t="s">
        <v>354</v>
      </c>
      <c r="B9" s="32">
        <v>298437.40999999997</v>
      </c>
      <c r="C9" s="32">
        <v>4032723.15</v>
      </c>
      <c r="D9" s="32">
        <v>1509091.6600000001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B87BF-91F9-4E42-A801-C4317DDB0624}">
  <dimension ref="G1:Q3"/>
  <sheetViews>
    <sheetView showGridLines="0" tabSelected="1" workbookViewId="0">
      <selection activeCell="E4" sqref="E4"/>
    </sheetView>
  </sheetViews>
  <sheetFormatPr defaultRowHeight="14.4" x14ac:dyDescent="0.3"/>
  <cols>
    <col min="1" max="16384" width="8.88671875" style="37"/>
  </cols>
  <sheetData>
    <row r="1" spans="7:17" x14ac:dyDescent="0.3">
      <c r="G1" s="34"/>
      <c r="H1" s="35"/>
      <c r="I1" s="35"/>
      <c r="J1" s="35"/>
      <c r="K1" s="35"/>
      <c r="L1" s="35"/>
      <c r="M1" s="35"/>
      <c r="N1" s="35"/>
      <c r="O1" s="35"/>
      <c r="P1" s="35"/>
      <c r="Q1" s="36"/>
    </row>
    <row r="2" spans="7:17" x14ac:dyDescent="0.3">
      <c r="G2" s="38"/>
      <c r="H2" s="39"/>
      <c r="I2" s="39"/>
      <c r="J2" s="39"/>
      <c r="K2" s="39"/>
      <c r="L2" s="39"/>
      <c r="M2" s="39"/>
      <c r="N2" s="39"/>
      <c r="O2" s="39"/>
      <c r="P2" s="39"/>
      <c r="Q2" s="40"/>
    </row>
    <row r="3" spans="7:17" ht="15" thickBot="1" x14ac:dyDescent="0.35">
      <c r="G3" s="41"/>
      <c r="H3" s="42"/>
      <c r="I3" s="42"/>
      <c r="J3" s="42"/>
      <c r="K3" s="42"/>
      <c r="L3" s="42"/>
      <c r="M3" s="42"/>
      <c r="N3" s="42"/>
      <c r="O3" s="42"/>
      <c r="P3" s="42"/>
      <c r="Q3" s="43"/>
    </row>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1"/>
  <sheetViews>
    <sheetView workbookViewId="0">
      <pane ySplit="1" topLeftCell="A215" activePane="bottomLeft" state="frozen"/>
      <selection pane="bottomLeft" activeCell="D8" sqref="A1:O241"/>
    </sheetView>
  </sheetViews>
  <sheetFormatPr defaultRowHeight="14.4" x14ac:dyDescent="0.3"/>
  <cols>
    <col min="1" max="1" width="12" customWidth="1"/>
    <col min="2" max="2" width="13" customWidth="1"/>
    <col min="3" max="3" width="12" customWidth="1"/>
    <col min="4" max="4" width="10" customWidth="1"/>
    <col min="5" max="5" width="16" customWidth="1"/>
    <col min="6" max="6" width="14" customWidth="1"/>
    <col min="7" max="7" width="12" customWidth="1"/>
    <col min="8" max="9" width="18" customWidth="1"/>
    <col min="10" max="10" width="16" customWidth="1"/>
    <col min="11" max="11" width="8" customWidth="1"/>
    <col min="12" max="12" width="12" customWidth="1"/>
    <col min="13" max="13" width="14" customWidth="1"/>
    <col min="14" max="15" width="13" customWidth="1"/>
  </cols>
  <sheetData>
    <row r="1" spans="1:15" x14ac:dyDescent="0.3">
      <c r="A1" s="11" t="s">
        <v>0</v>
      </c>
      <c r="B1" s="12" t="s">
        <v>1</v>
      </c>
      <c r="C1" s="12" t="s">
        <v>2</v>
      </c>
      <c r="D1" s="12" t="s">
        <v>3</v>
      </c>
      <c r="E1" s="12" t="s">
        <v>4</v>
      </c>
      <c r="F1" s="12" t="s">
        <v>5</v>
      </c>
      <c r="G1" s="12" t="s">
        <v>6</v>
      </c>
      <c r="H1" s="12" t="s">
        <v>7</v>
      </c>
      <c r="I1" s="12" t="s">
        <v>8</v>
      </c>
      <c r="J1" s="12" t="s">
        <v>9</v>
      </c>
      <c r="K1" s="12" t="s">
        <v>10</v>
      </c>
      <c r="L1" s="12" t="s">
        <v>11</v>
      </c>
      <c r="M1" s="12" t="s">
        <v>12</v>
      </c>
      <c r="N1" s="12" t="s">
        <v>13</v>
      </c>
      <c r="O1" s="13" t="s">
        <v>14</v>
      </c>
    </row>
    <row r="2" spans="1:15" x14ac:dyDescent="0.3">
      <c r="A2" s="14" t="s">
        <v>15</v>
      </c>
      <c r="B2" s="15">
        <v>45823</v>
      </c>
      <c r="C2" s="16" t="s">
        <v>16</v>
      </c>
      <c r="D2" s="16" t="s">
        <v>17</v>
      </c>
      <c r="E2" s="16" t="s">
        <v>18</v>
      </c>
      <c r="F2" s="16" t="s">
        <v>19</v>
      </c>
      <c r="G2" s="16" t="s">
        <v>20</v>
      </c>
      <c r="H2" s="16" t="s">
        <v>21</v>
      </c>
      <c r="I2" s="16" t="s">
        <v>22</v>
      </c>
      <c r="J2" s="16" t="s">
        <v>23</v>
      </c>
      <c r="K2" s="17">
        <v>6</v>
      </c>
      <c r="L2" s="18">
        <v>1220.9000000000001</v>
      </c>
      <c r="M2" s="18">
        <v>7325.4</v>
      </c>
      <c r="N2" s="18">
        <v>4372.08</v>
      </c>
      <c r="O2" s="19">
        <v>2953.32</v>
      </c>
    </row>
    <row r="3" spans="1:15" x14ac:dyDescent="0.3">
      <c r="A3" s="20" t="s">
        <v>24</v>
      </c>
      <c r="B3" s="21">
        <v>45767</v>
      </c>
      <c r="C3" s="22" t="s">
        <v>25</v>
      </c>
      <c r="D3" s="22" t="s">
        <v>26</v>
      </c>
      <c r="E3" s="22" t="s">
        <v>27</v>
      </c>
      <c r="F3" s="22" t="s">
        <v>28</v>
      </c>
      <c r="G3" s="22" t="s">
        <v>29</v>
      </c>
      <c r="H3" s="22" t="s">
        <v>30</v>
      </c>
      <c r="I3" s="22" t="s">
        <v>31</v>
      </c>
      <c r="J3" s="22" t="s">
        <v>32</v>
      </c>
      <c r="K3" s="23">
        <v>2</v>
      </c>
      <c r="L3" s="24">
        <v>52658.17</v>
      </c>
      <c r="M3" s="24">
        <v>105316.34</v>
      </c>
      <c r="N3" s="24">
        <v>78384.7</v>
      </c>
      <c r="O3" s="25">
        <v>26931.64</v>
      </c>
    </row>
    <row r="4" spans="1:15" x14ac:dyDescent="0.3">
      <c r="A4" s="14" t="s">
        <v>33</v>
      </c>
      <c r="B4" s="15">
        <v>45947</v>
      </c>
      <c r="C4" s="16" t="s">
        <v>34</v>
      </c>
      <c r="D4" s="16" t="s">
        <v>26</v>
      </c>
      <c r="E4" s="16" t="s">
        <v>27</v>
      </c>
      <c r="F4" s="16" t="s">
        <v>28</v>
      </c>
      <c r="G4" s="16" t="s">
        <v>20</v>
      </c>
      <c r="H4" s="16" t="s">
        <v>35</v>
      </c>
      <c r="I4" s="16" t="s">
        <v>22</v>
      </c>
      <c r="J4" s="16" t="s">
        <v>36</v>
      </c>
      <c r="K4" s="17">
        <v>1</v>
      </c>
      <c r="L4" s="18">
        <v>968.79</v>
      </c>
      <c r="M4" s="18">
        <v>968.79</v>
      </c>
      <c r="N4" s="18">
        <v>477.33</v>
      </c>
      <c r="O4" s="19">
        <v>491.46</v>
      </c>
    </row>
    <row r="5" spans="1:15" x14ac:dyDescent="0.3">
      <c r="A5" s="20" t="s">
        <v>37</v>
      </c>
      <c r="B5" s="21">
        <v>45726</v>
      </c>
      <c r="C5" s="22" t="s">
        <v>38</v>
      </c>
      <c r="D5" s="22" t="s">
        <v>39</v>
      </c>
      <c r="E5" s="22" t="s">
        <v>40</v>
      </c>
      <c r="F5" s="22" t="s">
        <v>41</v>
      </c>
      <c r="G5" s="22" t="s">
        <v>42</v>
      </c>
      <c r="H5" s="22" t="s">
        <v>35</v>
      </c>
      <c r="I5" s="22" t="s">
        <v>31</v>
      </c>
      <c r="J5" s="22" t="s">
        <v>43</v>
      </c>
      <c r="K5" s="23">
        <v>5</v>
      </c>
      <c r="L5" s="24">
        <v>12168.46</v>
      </c>
      <c r="M5" s="24">
        <v>60842.3</v>
      </c>
      <c r="N5" s="24">
        <v>40728</v>
      </c>
      <c r="O5" s="25">
        <v>20114.3</v>
      </c>
    </row>
    <row r="6" spans="1:15" x14ac:dyDescent="0.3">
      <c r="A6" s="14" t="s">
        <v>44</v>
      </c>
      <c r="B6" s="15">
        <v>45710</v>
      </c>
      <c r="C6" s="16" t="s">
        <v>45</v>
      </c>
      <c r="D6" s="16" t="s">
        <v>17</v>
      </c>
      <c r="E6" s="16" t="s">
        <v>18</v>
      </c>
      <c r="F6" s="16" t="s">
        <v>19</v>
      </c>
      <c r="G6" s="16" t="s">
        <v>46</v>
      </c>
      <c r="H6" s="16" t="s">
        <v>35</v>
      </c>
      <c r="I6" s="16" t="s">
        <v>22</v>
      </c>
      <c r="J6" s="16" t="s">
        <v>23</v>
      </c>
      <c r="K6" s="17">
        <v>10</v>
      </c>
      <c r="L6" s="18">
        <v>1126.73</v>
      </c>
      <c r="M6" s="18">
        <v>11267.3</v>
      </c>
      <c r="N6" s="18">
        <v>6794.2</v>
      </c>
      <c r="O6" s="19">
        <v>4473.1000000000004</v>
      </c>
    </row>
    <row r="7" spans="1:15" x14ac:dyDescent="0.3">
      <c r="A7" s="20" t="s">
        <v>47</v>
      </c>
      <c r="B7" s="21">
        <v>46006</v>
      </c>
      <c r="C7" s="22" t="s">
        <v>48</v>
      </c>
      <c r="D7" s="22" t="s">
        <v>49</v>
      </c>
      <c r="E7" s="22" t="s">
        <v>50</v>
      </c>
      <c r="F7" s="22" t="s">
        <v>51</v>
      </c>
      <c r="G7" s="22" t="s">
        <v>52</v>
      </c>
      <c r="H7" s="22" t="s">
        <v>35</v>
      </c>
      <c r="I7" s="22" t="s">
        <v>53</v>
      </c>
      <c r="J7" s="22" t="s">
        <v>54</v>
      </c>
      <c r="K7" s="23">
        <v>5</v>
      </c>
      <c r="L7" s="24">
        <v>10639.9</v>
      </c>
      <c r="M7" s="24">
        <v>53199.5</v>
      </c>
      <c r="N7" s="24">
        <v>36783.1</v>
      </c>
      <c r="O7" s="25">
        <v>16416.400000000001</v>
      </c>
    </row>
    <row r="8" spans="1:15" x14ac:dyDescent="0.3">
      <c r="A8" s="14" t="s">
        <v>55</v>
      </c>
      <c r="B8" s="15">
        <v>45782</v>
      </c>
      <c r="C8" s="16" t="s">
        <v>56</v>
      </c>
      <c r="D8" s="16" t="s">
        <v>26</v>
      </c>
      <c r="E8" s="16" t="s">
        <v>57</v>
      </c>
      <c r="F8" s="16" t="s">
        <v>58</v>
      </c>
      <c r="G8" s="16" t="s">
        <v>59</v>
      </c>
      <c r="H8" s="16" t="s">
        <v>35</v>
      </c>
      <c r="I8" s="16" t="s">
        <v>53</v>
      </c>
      <c r="J8" s="16" t="s">
        <v>54</v>
      </c>
      <c r="K8" s="17">
        <v>12</v>
      </c>
      <c r="L8" s="18">
        <v>10970.58</v>
      </c>
      <c r="M8" s="18">
        <v>131646.96</v>
      </c>
      <c r="N8" s="18">
        <v>92193.72</v>
      </c>
      <c r="O8" s="19">
        <v>39453.24</v>
      </c>
    </row>
    <row r="9" spans="1:15" x14ac:dyDescent="0.3">
      <c r="A9" s="20" t="s">
        <v>60</v>
      </c>
      <c r="B9" s="21">
        <v>45695</v>
      </c>
      <c r="C9" s="22" t="s">
        <v>45</v>
      </c>
      <c r="D9" s="22" t="s">
        <v>26</v>
      </c>
      <c r="E9" s="22" t="s">
        <v>57</v>
      </c>
      <c r="F9" s="22" t="s">
        <v>58</v>
      </c>
      <c r="G9" s="22" t="s">
        <v>29</v>
      </c>
      <c r="H9" s="22" t="s">
        <v>21</v>
      </c>
      <c r="I9" s="22" t="s">
        <v>53</v>
      </c>
      <c r="J9" s="22" t="s">
        <v>61</v>
      </c>
      <c r="K9" s="23">
        <v>8</v>
      </c>
      <c r="L9" s="24">
        <v>6456.16</v>
      </c>
      <c r="M9" s="24">
        <v>51649.279999999999</v>
      </c>
      <c r="N9" s="24">
        <v>35152.400000000001</v>
      </c>
      <c r="O9" s="25">
        <v>16496.88</v>
      </c>
    </row>
    <row r="10" spans="1:15" x14ac:dyDescent="0.3">
      <c r="A10" s="14" t="s">
        <v>62</v>
      </c>
      <c r="B10" s="15">
        <v>45697</v>
      </c>
      <c r="C10" s="16" t="s">
        <v>45</v>
      </c>
      <c r="D10" s="16" t="s">
        <v>39</v>
      </c>
      <c r="E10" s="16" t="s">
        <v>40</v>
      </c>
      <c r="F10" s="16" t="s">
        <v>41</v>
      </c>
      <c r="G10" s="16" t="s">
        <v>63</v>
      </c>
      <c r="H10" s="16" t="s">
        <v>35</v>
      </c>
      <c r="I10" s="16" t="s">
        <v>53</v>
      </c>
      <c r="J10" s="16" t="s">
        <v>64</v>
      </c>
      <c r="K10" s="17">
        <v>8</v>
      </c>
      <c r="L10" s="18">
        <v>8462.83</v>
      </c>
      <c r="M10" s="18">
        <v>67702.64</v>
      </c>
      <c r="N10" s="18">
        <v>47584.24</v>
      </c>
      <c r="O10" s="19">
        <v>20118.400000000001</v>
      </c>
    </row>
    <row r="11" spans="1:15" x14ac:dyDescent="0.3">
      <c r="A11" s="20" t="s">
        <v>65</v>
      </c>
      <c r="B11" s="21">
        <v>45796</v>
      </c>
      <c r="C11" s="22" t="s">
        <v>56</v>
      </c>
      <c r="D11" s="22" t="s">
        <v>49</v>
      </c>
      <c r="E11" s="22" t="s">
        <v>66</v>
      </c>
      <c r="F11" s="22" t="s">
        <v>67</v>
      </c>
      <c r="G11" s="22" t="s">
        <v>46</v>
      </c>
      <c r="H11" s="22" t="s">
        <v>21</v>
      </c>
      <c r="I11" s="22" t="s">
        <v>22</v>
      </c>
      <c r="J11" s="22" t="s">
        <v>68</v>
      </c>
      <c r="K11" s="23">
        <v>5</v>
      </c>
      <c r="L11" s="24">
        <v>2567.67</v>
      </c>
      <c r="M11" s="24">
        <v>12838.35</v>
      </c>
      <c r="N11" s="24">
        <v>7869.8</v>
      </c>
      <c r="O11" s="25">
        <v>4968.55</v>
      </c>
    </row>
    <row r="12" spans="1:15" x14ac:dyDescent="0.3">
      <c r="A12" s="14" t="s">
        <v>69</v>
      </c>
      <c r="B12" s="15">
        <v>45886</v>
      </c>
      <c r="C12" s="16" t="s">
        <v>70</v>
      </c>
      <c r="D12" s="16" t="s">
        <v>39</v>
      </c>
      <c r="E12" s="16" t="s">
        <v>71</v>
      </c>
      <c r="F12" s="16" t="s">
        <v>72</v>
      </c>
      <c r="G12" s="16" t="s">
        <v>29</v>
      </c>
      <c r="H12" s="16" t="s">
        <v>35</v>
      </c>
      <c r="I12" s="16" t="s">
        <v>53</v>
      </c>
      <c r="J12" s="16" t="s">
        <v>61</v>
      </c>
      <c r="K12" s="17">
        <v>8</v>
      </c>
      <c r="L12" s="18">
        <v>6391.58</v>
      </c>
      <c r="M12" s="18">
        <v>51132.639999999999</v>
      </c>
      <c r="N12" s="18">
        <v>33972.720000000001</v>
      </c>
      <c r="O12" s="19">
        <v>17159.919999999998</v>
      </c>
    </row>
    <row r="13" spans="1:15" x14ac:dyDescent="0.3">
      <c r="A13" s="20" t="s">
        <v>73</v>
      </c>
      <c r="B13" s="21">
        <v>45910</v>
      </c>
      <c r="C13" s="22" t="s">
        <v>74</v>
      </c>
      <c r="D13" s="22" t="s">
        <v>26</v>
      </c>
      <c r="E13" s="22" t="s">
        <v>27</v>
      </c>
      <c r="F13" s="22" t="s">
        <v>28</v>
      </c>
      <c r="G13" s="22" t="s">
        <v>59</v>
      </c>
      <c r="H13" s="22" t="s">
        <v>21</v>
      </c>
      <c r="I13" s="22" t="s">
        <v>22</v>
      </c>
      <c r="J13" s="22" t="s">
        <v>23</v>
      </c>
      <c r="K13" s="23">
        <v>7</v>
      </c>
      <c r="L13" s="24">
        <v>1186.3699999999999</v>
      </c>
      <c r="M13" s="24">
        <v>8304.59</v>
      </c>
      <c r="N13" s="24">
        <v>5082</v>
      </c>
      <c r="O13" s="25">
        <v>3222.59</v>
      </c>
    </row>
    <row r="14" spans="1:15" x14ac:dyDescent="0.3">
      <c r="A14" s="14" t="s">
        <v>75</v>
      </c>
      <c r="B14" s="15">
        <v>45699</v>
      </c>
      <c r="C14" s="16" t="s">
        <v>45</v>
      </c>
      <c r="D14" s="16" t="s">
        <v>17</v>
      </c>
      <c r="E14" s="16" t="s">
        <v>18</v>
      </c>
      <c r="F14" s="16" t="s">
        <v>19</v>
      </c>
      <c r="G14" s="16" t="s">
        <v>29</v>
      </c>
      <c r="H14" s="16" t="s">
        <v>35</v>
      </c>
      <c r="I14" s="16" t="s">
        <v>53</v>
      </c>
      <c r="J14" s="16" t="s">
        <v>61</v>
      </c>
      <c r="K14" s="17">
        <v>7</v>
      </c>
      <c r="L14" s="18">
        <v>6887.38</v>
      </c>
      <c r="M14" s="18">
        <v>48211.66</v>
      </c>
      <c r="N14" s="18">
        <v>28748.58</v>
      </c>
      <c r="O14" s="19">
        <v>19463.080000000002</v>
      </c>
    </row>
    <row r="15" spans="1:15" x14ac:dyDescent="0.3">
      <c r="A15" s="20" t="s">
        <v>76</v>
      </c>
      <c r="B15" s="21">
        <v>45870</v>
      </c>
      <c r="C15" s="22" t="s">
        <v>70</v>
      </c>
      <c r="D15" s="22" t="s">
        <v>39</v>
      </c>
      <c r="E15" s="22" t="s">
        <v>71</v>
      </c>
      <c r="F15" s="22" t="s">
        <v>72</v>
      </c>
      <c r="G15" s="22" t="s">
        <v>29</v>
      </c>
      <c r="H15" s="22" t="s">
        <v>21</v>
      </c>
      <c r="I15" s="22" t="s">
        <v>31</v>
      </c>
      <c r="J15" s="22" t="s">
        <v>32</v>
      </c>
      <c r="K15" s="23">
        <v>3</v>
      </c>
      <c r="L15" s="24">
        <v>49540.13</v>
      </c>
      <c r="M15" s="24">
        <v>148620.39000000001</v>
      </c>
      <c r="N15" s="24">
        <v>124949.75999999999</v>
      </c>
      <c r="O15" s="25">
        <v>23670.63</v>
      </c>
    </row>
    <row r="16" spans="1:15" x14ac:dyDescent="0.3">
      <c r="A16" s="14" t="s">
        <v>77</v>
      </c>
      <c r="B16" s="15">
        <v>45664</v>
      </c>
      <c r="C16" s="16" t="s">
        <v>78</v>
      </c>
      <c r="D16" s="16" t="s">
        <v>49</v>
      </c>
      <c r="E16" s="16" t="s">
        <v>66</v>
      </c>
      <c r="F16" s="16" t="s">
        <v>67</v>
      </c>
      <c r="G16" s="16" t="s">
        <v>42</v>
      </c>
      <c r="H16" s="16" t="s">
        <v>30</v>
      </c>
      <c r="I16" s="16" t="s">
        <v>53</v>
      </c>
      <c r="J16" s="16" t="s">
        <v>61</v>
      </c>
      <c r="K16" s="17">
        <v>3</v>
      </c>
      <c r="L16" s="18">
        <v>6453.47</v>
      </c>
      <c r="M16" s="18">
        <v>19360.41</v>
      </c>
      <c r="N16" s="18">
        <v>12435.27</v>
      </c>
      <c r="O16" s="19">
        <v>6925.14</v>
      </c>
    </row>
    <row r="17" spans="1:15" x14ac:dyDescent="0.3">
      <c r="A17" s="20" t="s">
        <v>79</v>
      </c>
      <c r="B17" s="21">
        <v>45947</v>
      </c>
      <c r="C17" s="22" t="s">
        <v>34</v>
      </c>
      <c r="D17" s="22" t="s">
        <v>39</v>
      </c>
      <c r="E17" s="22" t="s">
        <v>80</v>
      </c>
      <c r="F17" s="22" t="s">
        <v>81</v>
      </c>
      <c r="G17" s="22" t="s">
        <v>20</v>
      </c>
      <c r="H17" s="22" t="s">
        <v>30</v>
      </c>
      <c r="I17" s="22" t="s">
        <v>22</v>
      </c>
      <c r="J17" s="22" t="s">
        <v>68</v>
      </c>
      <c r="K17" s="23">
        <v>7</v>
      </c>
      <c r="L17" s="24">
        <v>2474.2800000000002</v>
      </c>
      <c r="M17" s="24">
        <v>17319.96</v>
      </c>
      <c r="N17" s="24">
        <v>10388.84</v>
      </c>
      <c r="O17" s="25">
        <v>6931.12</v>
      </c>
    </row>
    <row r="18" spans="1:15" x14ac:dyDescent="0.3">
      <c r="A18" s="14" t="s">
        <v>82</v>
      </c>
      <c r="B18" s="15">
        <v>45904</v>
      </c>
      <c r="C18" s="16" t="s">
        <v>74</v>
      </c>
      <c r="D18" s="16" t="s">
        <v>49</v>
      </c>
      <c r="E18" s="16" t="s">
        <v>83</v>
      </c>
      <c r="F18" s="16" t="s">
        <v>84</v>
      </c>
      <c r="G18" s="16" t="s">
        <v>85</v>
      </c>
      <c r="H18" s="16" t="s">
        <v>21</v>
      </c>
      <c r="I18" s="16" t="s">
        <v>31</v>
      </c>
      <c r="J18" s="16" t="s">
        <v>86</v>
      </c>
      <c r="K18" s="17">
        <v>3</v>
      </c>
      <c r="L18" s="18">
        <v>17036.810000000001</v>
      </c>
      <c r="M18" s="18">
        <v>51110.43</v>
      </c>
      <c r="N18" s="18">
        <v>39392.85</v>
      </c>
      <c r="O18" s="19">
        <v>11717.58</v>
      </c>
    </row>
    <row r="19" spans="1:15" x14ac:dyDescent="0.3">
      <c r="A19" s="20" t="s">
        <v>87</v>
      </c>
      <c r="B19" s="21">
        <v>45710</v>
      </c>
      <c r="C19" s="22" t="s">
        <v>45</v>
      </c>
      <c r="D19" s="22" t="s">
        <v>26</v>
      </c>
      <c r="E19" s="22" t="s">
        <v>57</v>
      </c>
      <c r="F19" s="22" t="s">
        <v>58</v>
      </c>
      <c r="G19" s="22" t="s">
        <v>42</v>
      </c>
      <c r="H19" s="22" t="s">
        <v>35</v>
      </c>
      <c r="I19" s="22" t="s">
        <v>31</v>
      </c>
      <c r="J19" s="22" t="s">
        <v>86</v>
      </c>
      <c r="K19" s="23">
        <v>10</v>
      </c>
      <c r="L19" s="24">
        <v>16808.849999999999</v>
      </c>
      <c r="M19" s="24">
        <v>168088.5</v>
      </c>
      <c r="N19" s="24">
        <v>134866.29999999999</v>
      </c>
      <c r="O19" s="25">
        <v>33222.199999999997</v>
      </c>
    </row>
    <row r="20" spans="1:15" x14ac:dyDescent="0.3">
      <c r="A20" s="14" t="s">
        <v>88</v>
      </c>
      <c r="B20" s="15">
        <v>45972</v>
      </c>
      <c r="C20" s="16" t="s">
        <v>89</v>
      </c>
      <c r="D20" s="16" t="s">
        <v>49</v>
      </c>
      <c r="E20" s="16" t="s">
        <v>83</v>
      </c>
      <c r="F20" s="16" t="s">
        <v>84</v>
      </c>
      <c r="G20" s="16" t="s">
        <v>59</v>
      </c>
      <c r="H20" s="16" t="s">
        <v>30</v>
      </c>
      <c r="I20" s="16" t="s">
        <v>22</v>
      </c>
      <c r="J20" s="16" t="s">
        <v>36</v>
      </c>
      <c r="K20" s="17">
        <v>8</v>
      </c>
      <c r="L20" s="18">
        <v>853.58</v>
      </c>
      <c r="M20" s="18">
        <v>6828.64</v>
      </c>
      <c r="N20" s="18">
        <v>4139.6000000000004</v>
      </c>
      <c r="O20" s="19">
        <v>2689.04</v>
      </c>
    </row>
    <row r="21" spans="1:15" x14ac:dyDescent="0.3">
      <c r="A21" s="20" t="s">
        <v>90</v>
      </c>
      <c r="B21" s="21">
        <v>45896</v>
      </c>
      <c r="C21" s="22" t="s">
        <v>70</v>
      </c>
      <c r="D21" s="22" t="s">
        <v>49</v>
      </c>
      <c r="E21" s="22" t="s">
        <v>50</v>
      </c>
      <c r="F21" s="22" t="s">
        <v>51</v>
      </c>
      <c r="G21" s="22" t="s">
        <v>59</v>
      </c>
      <c r="H21" s="22" t="s">
        <v>21</v>
      </c>
      <c r="I21" s="22" t="s">
        <v>31</v>
      </c>
      <c r="J21" s="22" t="s">
        <v>32</v>
      </c>
      <c r="K21" s="23">
        <v>12</v>
      </c>
      <c r="L21" s="24">
        <v>51032.56</v>
      </c>
      <c r="M21" s="24">
        <v>612390.72</v>
      </c>
      <c r="N21" s="24">
        <v>480426</v>
      </c>
      <c r="O21" s="25">
        <v>131964.72</v>
      </c>
    </row>
    <row r="22" spans="1:15" x14ac:dyDescent="0.3">
      <c r="A22" s="14" t="s">
        <v>91</v>
      </c>
      <c r="B22" s="15">
        <v>46012</v>
      </c>
      <c r="C22" s="16" t="s">
        <v>48</v>
      </c>
      <c r="D22" s="16" t="s">
        <v>17</v>
      </c>
      <c r="E22" s="16" t="s">
        <v>92</v>
      </c>
      <c r="F22" s="16" t="s">
        <v>93</v>
      </c>
      <c r="G22" s="16" t="s">
        <v>20</v>
      </c>
      <c r="H22" s="16" t="s">
        <v>21</v>
      </c>
      <c r="I22" s="16" t="s">
        <v>22</v>
      </c>
      <c r="J22" s="16" t="s">
        <v>36</v>
      </c>
      <c r="K22" s="17">
        <v>3</v>
      </c>
      <c r="L22" s="18">
        <v>930.16</v>
      </c>
      <c r="M22" s="18">
        <v>2790.48</v>
      </c>
      <c r="N22" s="18">
        <v>1562.13</v>
      </c>
      <c r="O22" s="19">
        <v>1228.3499999999999</v>
      </c>
    </row>
    <row r="23" spans="1:15" x14ac:dyDescent="0.3">
      <c r="A23" s="20" t="s">
        <v>94</v>
      </c>
      <c r="B23" s="21">
        <v>45928</v>
      </c>
      <c r="C23" s="22" t="s">
        <v>74</v>
      </c>
      <c r="D23" s="22" t="s">
        <v>39</v>
      </c>
      <c r="E23" s="22" t="s">
        <v>71</v>
      </c>
      <c r="F23" s="22" t="s">
        <v>72</v>
      </c>
      <c r="G23" s="22" t="s">
        <v>46</v>
      </c>
      <c r="H23" s="22" t="s">
        <v>35</v>
      </c>
      <c r="I23" s="22" t="s">
        <v>53</v>
      </c>
      <c r="J23" s="22" t="s">
        <v>64</v>
      </c>
      <c r="K23" s="23">
        <v>6</v>
      </c>
      <c r="L23" s="24">
        <v>9596.15</v>
      </c>
      <c r="M23" s="24">
        <v>57576.9</v>
      </c>
      <c r="N23" s="24">
        <v>36663.18</v>
      </c>
      <c r="O23" s="25">
        <v>20913.72</v>
      </c>
    </row>
    <row r="24" spans="1:15" x14ac:dyDescent="0.3">
      <c r="A24" s="14" t="s">
        <v>95</v>
      </c>
      <c r="B24" s="15">
        <v>45772</v>
      </c>
      <c r="C24" s="16" t="s">
        <v>25</v>
      </c>
      <c r="D24" s="16" t="s">
        <v>39</v>
      </c>
      <c r="E24" s="16" t="s">
        <v>71</v>
      </c>
      <c r="F24" s="16" t="s">
        <v>72</v>
      </c>
      <c r="G24" s="16" t="s">
        <v>85</v>
      </c>
      <c r="H24" s="16" t="s">
        <v>35</v>
      </c>
      <c r="I24" s="16" t="s">
        <v>31</v>
      </c>
      <c r="J24" s="16" t="s">
        <v>32</v>
      </c>
      <c r="K24" s="17">
        <v>7</v>
      </c>
      <c r="L24" s="18">
        <v>54131.01</v>
      </c>
      <c r="M24" s="18">
        <v>378917.07</v>
      </c>
      <c r="N24" s="18">
        <v>279157.40999999997</v>
      </c>
      <c r="O24" s="19">
        <v>99759.66</v>
      </c>
    </row>
    <row r="25" spans="1:15" x14ac:dyDescent="0.3">
      <c r="A25" s="20" t="s">
        <v>96</v>
      </c>
      <c r="B25" s="21">
        <v>45923</v>
      </c>
      <c r="C25" s="22" t="s">
        <v>74</v>
      </c>
      <c r="D25" s="22" t="s">
        <v>49</v>
      </c>
      <c r="E25" s="22" t="s">
        <v>50</v>
      </c>
      <c r="F25" s="22" t="s">
        <v>51</v>
      </c>
      <c r="G25" s="22" t="s">
        <v>20</v>
      </c>
      <c r="H25" s="22" t="s">
        <v>21</v>
      </c>
      <c r="I25" s="22" t="s">
        <v>53</v>
      </c>
      <c r="J25" s="22" t="s">
        <v>54</v>
      </c>
      <c r="K25" s="23">
        <v>5</v>
      </c>
      <c r="L25" s="24">
        <v>10549.51</v>
      </c>
      <c r="M25" s="24">
        <v>52747.55</v>
      </c>
      <c r="N25" s="24">
        <v>38399.550000000003</v>
      </c>
      <c r="O25" s="25">
        <v>14348</v>
      </c>
    </row>
    <row r="26" spans="1:15" x14ac:dyDescent="0.3">
      <c r="A26" s="14" t="s">
        <v>97</v>
      </c>
      <c r="B26" s="15">
        <v>45834</v>
      </c>
      <c r="C26" s="16" t="s">
        <v>16</v>
      </c>
      <c r="D26" s="16" t="s">
        <v>49</v>
      </c>
      <c r="E26" s="16" t="s">
        <v>66</v>
      </c>
      <c r="F26" s="16" t="s">
        <v>67</v>
      </c>
      <c r="G26" s="16" t="s">
        <v>63</v>
      </c>
      <c r="H26" s="16" t="s">
        <v>30</v>
      </c>
      <c r="I26" s="16" t="s">
        <v>31</v>
      </c>
      <c r="J26" s="16" t="s">
        <v>32</v>
      </c>
      <c r="K26" s="17">
        <v>2</v>
      </c>
      <c r="L26" s="18">
        <v>50129.4</v>
      </c>
      <c r="M26" s="18">
        <v>100258.8</v>
      </c>
      <c r="N26" s="18">
        <v>79513</v>
      </c>
      <c r="O26" s="19">
        <v>20745.8</v>
      </c>
    </row>
    <row r="27" spans="1:15" x14ac:dyDescent="0.3">
      <c r="A27" s="20" t="s">
        <v>98</v>
      </c>
      <c r="B27" s="21">
        <v>45762</v>
      </c>
      <c r="C27" s="22" t="s">
        <v>25</v>
      </c>
      <c r="D27" s="22" t="s">
        <v>49</v>
      </c>
      <c r="E27" s="22" t="s">
        <v>66</v>
      </c>
      <c r="F27" s="22" t="s">
        <v>67</v>
      </c>
      <c r="G27" s="22" t="s">
        <v>20</v>
      </c>
      <c r="H27" s="22" t="s">
        <v>30</v>
      </c>
      <c r="I27" s="22" t="s">
        <v>22</v>
      </c>
      <c r="J27" s="22" t="s">
        <v>36</v>
      </c>
      <c r="K27" s="23">
        <v>11</v>
      </c>
      <c r="L27" s="24">
        <v>848.45</v>
      </c>
      <c r="M27" s="24">
        <v>9332.9500000000007</v>
      </c>
      <c r="N27" s="24">
        <v>5588.33</v>
      </c>
      <c r="O27" s="25">
        <v>3744.62</v>
      </c>
    </row>
    <row r="28" spans="1:15" x14ac:dyDescent="0.3">
      <c r="A28" s="14" t="s">
        <v>99</v>
      </c>
      <c r="B28" s="15">
        <v>45856</v>
      </c>
      <c r="C28" s="16" t="s">
        <v>100</v>
      </c>
      <c r="D28" s="16" t="s">
        <v>17</v>
      </c>
      <c r="E28" s="16" t="s">
        <v>18</v>
      </c>
      <c r="F28" s="16" t="s">
        <v>19</v>
      </c>
      <c r="G28" s="16" t="s">
        <v>42</v>
      </c>
      <c r="H28" s="16" t="s">
        <v>30</v>
      </c>
      <c r="I28" s="16" t="s">
        <v>22</v>
      </c>
      <c r="J28" s="16" t="s">
        <v>36</v>
      </c>
      <c r="K28" s="17">
        <v>2</v>
      </c>
      <c r="L28" s="18">
        <v>945.11</v>
      </c>
      <c r="M28" s="18">
        <v>1890.22</v>
      </c>
      <c r="N28" s="18">
        <v>1047.1600000000001</v>
      </c>
      <c r="O28" s="19">
        <v>843.06</v>
      </c>
    </row>
    <row r="29" spans="1:15" x14ac:dyDescent="0.3">
      <c r="A29" s="20" t="s">
        <v>101</v>
      </c>
      <c r="B29" s="21">
        <v>45860</v>
      </c>
      <c r="C29" s="22" t="s">
        <v>100</v>
      </c>
      <c r="D29" s="22" t="s">
        <v>49</v>
      </c>
      <c r="E29" s="22" t="s">
        <v>50</v>
      </c>
      <c r="F29" s="22" t="s">
        <v>51</v>
      </c>
      <c r="G29" s="22" t="s">
        <v>46</v>
      </c>
      <c r="H29" s="22" t="s">
        <v>35</v>
      </c>
      <c r="I29" s="22" t="s">
        <v>31</v>
      </c>
      <c r="J29" s="22" t="s">
        <v>32</v>
      </c>
      <c r="K29" s="23">
        <v>3</v>
      </c>
      <c r="L29" s="24">
        <v>48574.879999999997</v>
      </c>
      <c r="M29" s="24">
        <v>145724.64000000001</v>
      </c>
      <c r="N29" s="24">
        <v>124116.99</v>
      </c>
      <c r="O29" s="25">
        <v>21607.65</v>
      </c>
    </row>
    <row r="30" spans="1:15" x14ac:dyDescent="0.3">
      <c r="A30" s="14" t="s">
        <v>102</v>
      </c>
      <c r="B30" s="15">
        <v>45896</v>
      </c>
      <c r="C30" s="16" t="s">
        <v>70</v>
      </c>
      <c r="D30" s="16" t="s">
        <v>17</v>
      </c>
      <c r="E30" s="16" t="s">
        <v>92</v>
      </c>
      <c r="F30" s="16" t="s">
        <v>93</v>
      </c>
      <c r="G30" s="16" t="s">
        <v>52</v>
      </c>
      <c r="H30" s="16" t="s">
        <v>35</v>
      </c>
      <c r="I30" s="16" t="s">
        <v>53</v>
      </c>
      <c r="J30" s="16" t="s">
        <v>61</v>
      </c>
      <c r="K30" s="17">
        <v>9</v>
      </c>
      <c r="L30" s="18">
        <v>6579.58</v>
      </c>
      <c r="M30" s="18">
        <v>59216.22</v>
      </c>
      <c r="N30" s="18">
        <v>35990.910000000003</v>
      </c>
      <c r="O30" s="19">
        <v>23225.31</v>
      </c>
    </row>
    <row r="31" spans="1:15" x14ac:dyDescent="0.3">
      <c r="A31" s="20" t="s">
        <v>103</v>
      </c>
      <c r="B31" s="21">
        <v>45990</v>
      </c>
      <c r="C31" s="22" t="s">
        <v>89</v>
      </c>
      <c r="D31" s="22" t="s">
        <v>26</v>
      </c>
      <c r="E31" s="22" t="s">
        <v>57</v>
      </c>
      <c r="F31" s="22" t="s">
        <v>58</v>
      </c>
      <c r="G31" s="22" t="s">
        <v>42</v>
      </c>
      <c r="H31" s="22" t="s">
        <v>30</v>
      </c>
      <c r="I31" s="22" t="s">
        <v>31</v>
      </c>
      <c r="J31" s="22" t="s">
        <v>32</v>
      </c>
      <c r="K31" s="23">
        <v>1</v>
      </c>
      <c r="L31" s="24">
        <v>50324.31</v>
      </c>
      <c r="M31" s="24">
        <v>50324.31</v>
      </c>
      <c r="N31" s="24">
        <v>40151.160000000003</v>
      </c>
      <c r="O31" s="25">
        <v>10173.15</v>
      </c>
    </row>
    <row r="32" spans="1:15" x14ac:dyDescent="0.3">
      <c r="A32" s="14" t="s">
        <v>104</v>
      </c>
      <c r="B32" s="15">
        <v>45781</v>
      </c>
      <c r="C32" s="16" t="s">
        <v>56</v>
      </c>
      <c r="D32" s="16" t="s">
        <v>39</v>
      </c>
      <c r="E32" s="16" t="s">
        <v>40</v>
      </c>
      <c r="F32" s="16" t="s">
        <v>41</v>
      </c>
      <c r="G32" s="16" t="s">
        <v>29</v>
      </c>
      <c r="H32" s="16" t="s">
        <v>21</v>
      </c>
      <c r="I32" s="16" t="s">
        <v>31</v>
      </c>
      <c r="J32" s="16" t="s">
        <v>43</v>
      </c>
      <c r="K32" s="17">
        <v>6</v>
      </c>
      <c r="L32" s="18">
        <v>12775.87</v>
      </c>
      <c r="M32" s="18">
        <v>76655.22</v>
      </c>
      <c r="N32" s="18">
        <v>48779.88</v>
      </c>
      <c r="O32" s="19">
        <v>27875.34</v>
      </c>
    </row>
    <row r="33" spans="1:15" x14ac:dyDescent="0.3">
      <c r="A33" s="20" t="s">
        <v>105</v>
      </c>
      <c r="B33" s="21">
        <v>45922</v>
      </c>
      <c r="C33" s="22" t="s">
        <v>74</v>
      </c>
      <c r="D33" s="22" t="s">
        <v>49</v>
      </c>
      <c r="E33" s="22" t="s">
        <v>66</v>
      </c>
      <c r="F33" s="22" t="s">
        <v>67</v>
      </c>
      <c r="G33" s="22" t="s">
        <v>42</v>
      </c>
      <c r="H33" s="22" t="s">
        <v>35</v>
      </c>
      <c r="I33" s="22" t="s">
        <v>31</v>
      </c>
      <c r="J33" s="22" t="s">
        <v>43</v>
      </c>
      <c r="K33" s="23">
        <v>9</v>
      </c>
      <c r="L33" s="24">
        <v>11193.67</v>
      </c>
      <c r="M33" s="24">
        <v>100743.03</v>
      </c>
      <c r="N33" s="24">
        <v>71568.899999999994</v>
      </c>
      <c r="O33" s="25">
        <v>29174.13</v>
      </c>
    </row>
    <row r="34" spans="1:15" x14ac:dyDescent="0.3">
      <c r="A34" s="14" t="s">
        <v>106</v>
      </c>
      <c r="B34" s="15">
        <v>45751</v>
      </c>
      <c r="C34" s="16" t="s">
        <v>25</v>
      </c>
      <c r="D34" s="16" t="s">
        <v>26</v>
      </c>
      <c r="E34" s="16" t="s">
        <v>27</v>
      </c>
      <c r="F34" s="16" t="s">
        <v>28</v>
      </c>
      <c r="G34" s="16" t="s">
        <v>42</v>
      </c>
      <c r="H34" s="16" t="s">
        <v>21</v>
      </c>
      <c r="I34" s="16" t="s">
        <v>53</v>
      </c>
      <c r="J34" s="16" t="s">
        <v>64</v>
      </c>
      <c r="K34" s="17">
        <v>12</v>
      </c>
      <c r="L34" s="18">
        <v>8532.4500000000007</v>
      </c>
      <c r="M34" s="18">
        <v>102389.4</v>
      </c>
      <c r="N34" s="18">
        <v>71139.48</v>
      </c>
      <c r="O34" s="19">
        <v>31249.919999999998</v>
      </c>
    </row>
    <row r="35" spans="1:15" x14ac:dyDescent="0.3">
      <c r="A35" s="20" t="s">
        <v>107</v>
      </c>
      <c r="B35" s="21">
        <v>46007</v>
      </c>
      <c r="C35" s="22" t="s">
        <v>48</v>
      </c>
      <c r="D35" s="22" t="s">
        <v>49</v>
      </c>
      <c r="E35" s="22" t="s">
        <v>83</v>
      </c>
      <c r="F35" s="22" t="s">
        <v>84</v>
      </c>
      <c r="G35" s="22" t="s">
        <v>20</v>
      </c>
      <c r="H35" s="22" t="s">
        <v>21</v>
      </c>
      <c r="I35" s="22" t="s">
        <v>31</v>
      </c>
      <c r="J35" s="22" t="s">
        <v>86</v>
      </c>
      <c r="K35" s="23">
        <v>1</v>
      </c>
      <c r="L35" s="24">
        <v>18825.099999999999</v>
      </c>
      <c r="M35" s="24">
        <v>18825.099999999999</v>
      </c>
      <c r="N35" s="24">
        <v>13010.03</v>
      </c>
      <c r="O35" s="25">
        <v>5815.07</v>
      </c>
    </row>
    <row r="36" spans="1:15" x14ac:dyDescent="0.3">
      <c r="A36" s="14" t="s">
        <v>108</v>
      </c>
      <c r="B36" s="15">
        <v>45945</v>
      </c>
      <c r="C36" s="16" t="s">
        <v>34</v>
      </c>
      <c r="D36" s="16" t="s">
        <v>26</v>
      </c>
      <c r="E36" s="16" t="s">
        <v>27</v>
      </c>
      <c r="F36" s="16" t="s">
        <v>28</v>
      </c>
      <c r="G36" s="16" t="s">
        <v>52</v>
      </c>
      <c r="H36" s="16" t="s">
        <v>30</v>
      </c>
      <c r="I36" s="16" t="s">
        <v>22</v>
      </c>
      <c r="J36" s="16" t="s">
        <v>68</v>
      </c>
      <c r="K36" s="17">
        <v>10</v>
      </c>
      <c r="L36" s="18">
        <v>2517.06</v>
      </c>
      <c r="M36" s="18">
        <v>25170.6</v>
      </c>
      <c r="N36" s="18">
        <v>15289.1</v>
      </c>
      <c r="O36" s="19">
        <v>9881.5</v>
      </c>
    </row>
    <row r="37" spans="1:15" x14ac:dyDescent="0.3">
      <c r="A37" s="20" t="s">
        <v>109</v>
      </c>
      <c r="B37" s="21">
        <v>45889</v>
      </c>
      <c r="C37" s="22" t="s">
        <v>70</v>
      </c>
      <c r="D37" s="22" t="s">
        <v>49</v>
      </c>
      <c r="E37" s="22" t="s">
        <v>66</v>
      </c>
      <c r="F37" s="22" t="s">
        <v>67</v>
      </c>
      <c r="G37" s="22" t="s">
        <v>85</v>
      </c>
      <c r="H37" s="22" t="s">
        <v>35</v>
      </c>
      <c r="I37" s="22" t="s">
        <v>22</v>
      </c>
      <c r="J37" s="22" t="s">
        <v>36</v>
      </c>
      <c r="K37" s="23">
        <v>9</v>
      </c>
      <c r="L37" s="24">
        <v>957.52</v>
      </c>
      <c r="M37" s="24">
        <v>8617.68</v>
      </c>
      <c r="N37" s="24">
        <v>4366.17</v>
      </c>
      <c r="O37" s="25">
        <v>4251.51</v>
      </c>
    </row>
    <row r="38" spans="1:15" x14ac:dyDescent="0.3">
      <c r="A38" s="14" t="s">
        <v>110</v>
      </c>
      <c r="B38" s="15">
        <v>45887</v>
      </c>
      <c r="C38" s="16" t="s">
        <v>70</v>
      </c>
      <c r="D38" s="16" t="s">
        <v>17</v>
      </c>
      <c r="E38" s="16" t="s">
        <v>18</v>
      </c>
      <c r="F38" s="16" t="s">
        <v>19</v>
      </c>
      <c r="G38" s="16" t="s">
        <v>46</v>
      </c>
      <c r="H38" s="16" t="s">
        <v>30</v>
      </c>
      <c r="I38" s="16" t="s">
        <v>53</v>
      </c>
      <c r="J38" s="16" t="s">
        <v>54</v>
      </c>
      <c r="K38" s="17">
        <v>2</v>
      </c>
      <c r="L38" s="18">
        <v>11337.41</v>
      </c>
      <c r="M38" s="18">
        <v>22674.82</v>
      </c>
      <c r="N38" s="18">
        <v>15091.08</v>
      </c>
      <c r="O38" s="19">
        <v>7583.74</v>
      </c>
    </row>
    <row r="39" spans="1:15" x14ac:dyDescent="0.3">
      <c r="A39" s="20" t="s">
        <v>111</v>
      </c>
      <c r="B39" s="21">
        <v>45766</v>
      </c>
      <c r="C39" s="22" t="s">
        <v>25</v>
      </c>
      <c r="D39" s="22" t="s">
        <v>39</v>
      </c>
      <c r="E39" s="22" t="s">
        <v>80</v>
      </c>
      <c r="F39" s="22" t="s">
        <v>81</v>
      </c>
      <c r="G39" s="22" t="s">
        <v>42</v>
      </c>
      <c r="H39" s="22" t="s">
        <v>35</v>
      </c>
      <c r="I39" s="22" t="s">
        <v>22</v>
      </c>
      <c r="J39" s="22" t="s">
        <v>68</v>
      </c>
      <c r="K39" s="23">
        <v>6</v>
      </c>
      <c r="L39" s="24">
        <v>2378.62</v>
      </c>
      <c r="M39" s="24">
        <v>14271.72</v>
      </c>
      <c r="N39" s="24">
        <v>9344.52</v>
      </c>
      <c r="O39" s="25">
        <v>4927.2</v>
      </c>
    </row>
    <row r="40" spans="1:15" x14ac:dyDescent="0.3">
      <c r="A40" s="14" t="s">
        <v>112</v>
      </c>
      <c r="B40" s="15">
        <v>45897</v>
      </c>
      <c r="C40" s="16" t="s">
        <v>70</v>
      </c>
      <c r="D40" s="16" t="s">
        <v>17</v>
      </c>
      <c r="E40" s="16" t="s">
        <v>92</v>
      </c>
      <c r="F40" s="16" t="s">
        <v>93</v>
      </c>
      <c r="G40" s="16" t="s">
        <v>46</v>
      </c>
      <c r="H40" s="16" t="s">
        <v>30</v>
      </c>
      <c r="I40" s="16" t="s">
        <v>53</v>
      </c>
      <c r="J40" s="16" t="s">
        <v>61</v>
      </c>
      <c r="K40" s="17">
        <v>11</v>
      </c>
      <c r="L40" s="18">
        <v>6856.63</v>
      </c>
      <c r="M40" s="18">
        <v>75422.929999999993</v>
      </c>
      <c r="N40" s="18">
        <v>44636.02</v>
      </c>
      <c r="O40" s="19">
        <v>30786.91</v>
      </c>
    </row>
    <row r="41" spans="1:15" x14ac:dyDescent="0.3">
      <c r="A41" s="20" t="s">
        <v>113</v>
      </c>
      <c r="B41" s="21">
        <v>45878</v>
      </c>
      <c r="C41" s="22" t="s">
        <v>70</v>
      </c>
      <c r="D41" s="22" t="s">
        <v>49</v>
      </c>
      <c r="E41" s="22" t="s">
        <v>50</v>
      </c>
      <c r="F41" s="22" t="s">
        <v>51</v>
      </c>
      <c r="G41" s="22" t="s">
        <v>29</v>
      </c>
      <c r="H41" s="22" t="s">
        <v>21</v>
      </c>
      <c r="I41" s="22" t="s">
        <v>53</v>
      </c>
      <c r="J41" s="22" t="s">
        <v>54</v>
      </c>
      <c r="K41" s="23">
        <v>2</v>
      </c>
      <c r="L41" s="24">
        <v>11421.55</v>
      </c>
      <c r="M41" s="24">
        <v>22843.1</v>
      </c>
      <c r="N41" s="24">
        <v>14469.62</v>
      </c>
      <c r="O41" s="25">
        <v>8373.48</v>
      </c>
    </row>
    <row r="42" spans="1:15" x14ac:dyDescent="0.3">
      <c r="A42" s="14" t="s">
        <v>114</v>
      </c>
      <c r="B42" s="15">
        <v>45941</v>
      </c>
      <c r="C42" s="16" t="s">
        <v>34</v>
      </c>
      <c r="D42" s="16" t="s">
        <v>49</v>
      </c>
      <c r="E42" s="16" t="s">
        <v>50</v>
      </c>
      <c r="F42" s="16" t="s">
        <v>51</v>
      </c>
      <c r="G42" s="16" t="s">
        <v>20</v>
      </c>
      <c r="H42" s="16" t="s">
        <v>30</v>
      </c>
      <c r="I42" s="16" t="s">
        <v>53</v>
      </c>
      <c r="J42" s="16" t="s">
        <v>64</v>
      </c>
      <c r="K42" s="17">
        <v>10</v>
      </c>
      <c r="L42" s="18">
        <v>8768.86</v>
      </c>
      <c r="M42" s="18">
        <v>87688.6</v>
      </c>
      <c r="N42" s="18">
        <v>64856.800000000003</v>
      </c>
      <c r="O42" s="19">
        <v>22831.8</v>
      </c>
    </row>
    <row r="43" spans="1:15" x14ac:dyDescent="0.3">
      <c r="A43" s="20" t="s">
        <v>115</v>
      </c>
      <c r="B43" s="21">
        <v>45715</v>
      </c>
      <c r="C43" s="22" t="s">
        <v>45</v>
      </c>
      <c r="D43" s="22" t="s">
        <v>17</v>
      </c>
      <c r="E43" s="22" t="s">
        <v>116</v>
      </c>
      <c r="F43" s="22" t="s">
        <v>117</v>
      </c>
      <c r="G43" s="22" t="s">
        <v>46</v>
      </c>
      <c r="H43" s="22" t="s">
        <v>30</v>
      </c>
      <c r="I43" s="22" t="s">
        <v>53</v>
      </c>
      <c r="J43" s="22" t="s">
        <v>61</v>
      </c>
      <c r="K43" s="23">
        <v>3</v>
      </c>
      <c r="L43" s="24">
        <v>6308.68</v>
      </c>
      <c r="M43" s="24">
        <v>18926.04</v>
      </c>
      <c r="N43" s="24">
        <v>12133.23</v>
      </c>
      <c r="O43" s="25">
        <v>6792.81</v>
      </c>
    </row>
    <row r="44" spans="1:15" x14ac:dyDescent="0.3">
      <c r="A44" s="14" t="s">
        <v>118</v>
      </c>
      <c r="B44" s="15">
        <v>45874</v>
      </c>
      <c r="C44" s="16" t="s">
        <v>70</v>
      </c>
      <c r="D44" s="16" t="s">
        <v>39</v>
      </c>
      <c r="E44" s="16" t="s">
        <v>40</v>
      </c>
      <c r="F44" s="16" t="s">
        <v>41</v>
      </c>
      <c r="G44" s="16" t="s">
        <v>42</v>
      </c>
      <c r="H44" s="16" t="s">
        <v>35</v>
      </c>
      <c r="I44" s="16" t="s">
        <v>22</v>
      </c>
      <c r="J44" s="16" t="s">
        <v>68</v>
      </c>
      <c r="K44" s="17">
        <v>8</v>
      </c>
      <c r="L44" s="18">
        <v>2587.66</v>
      </c>
      <c r="M44" s="18">
        <v>20701.28</v>
      </c>
      <c r="N44" s="18">
        <v>11507.36</v>
      </c>
      <c r="O44" s="19">
        <v>9193.92</v>
      </c>
    </row>
    <row r="45" spans="1:15" x14ac:dyDescent="0.3">
      <c r="A45" s="20" t="s">
        <v>119</v>
      </c>
      <c r="B45" s="21">
        <v>45687</v>
      </c>
      <c r="C45" s="22" t="s">
        <v>78</v>
      </c>
      <c r="D45" s="22" t="s">
        <v>17</v>
      </c>
      <c r="E45" s="22" t="s">
        <v>18</v>
      </c>
      <c r="F45" s="22" t="s">
        <v>19</v>
      </c>
      <c r="G45" s="22" t="s">
        <v>46</v>
      </c>
      <c r="H45" s="22" t="s">
        <v>30</v>
      </c>
      <c r="I45" s="22" t="s">
        <v>31</v>
      </c>
      <c r="J45" s="22" t="s">
        <v>43</v>
      </c>
      <c r="K45" s="23">
        <v>2</v>
      </c>
      <c r="L45" s="24">
        <v>12602.93</v>
      </c>
      <c r="M45" s="24">
        <v>25205.86</v>
      </c>
      <c r="N45" s="24">
        <v>15333.98</v>
      </c>
      <c r="O45" s="25">
        <v>9871.8799999999992</v>
      </c>
    </row>
    <row r="46" spans="1:15" x14ac:dyDescent="0.3">
      <c r="A46" s="14" t="s">
        <v>120</v>
      </c>
      <c r="B46" s="15">
        <v>45771</v>
      </c>
      <c r="C46" s="16" t="s">
        <v>25</v>
      </c>
      <c r="D46" s="16" t="s">
        <v>26</v>
      </c>
      <c r="E46" s="16" t="s">
        <v>27</v>
      </c>
      <c r="F46" s="16" t="s">
        <v>121</v>
      </c>
      <c r="G46" s="16" t="s">
        <v>46</v>
      </c>
      <c r="H46" s="16" t="s">
        <v>30</v>
      </c>
      <c r="I46" s="16" t="s">
        <v>31</v>
      </c>
      <c r="J46" s="16" t="s">
        <v>86</v>
      </c>
      <c r="K46" s="17">
        <v>9</v>
      </c>
      <c r="L46" s="18">
        <v>17867.95</v>
      </c>
      <c r="M46" s="18">
        <v>160811.54999999999</v>
      </c>
      <c r="N46" s="18">
        <v>121860.45</v>
      </c>
      <c r="O46" s="19">
        <v>38951.1</v>
      </c>
    </row>
    <row r="47" spans="1:15" x14ac:dyDescent="0.3">
      <c r="A47" s="20" t="s">
        <v>122</v>
      </c>
      <c r="B47" s="21">
        <v>45976</v>
      </c>
      <c r="C47" s="22" t="s">
        <v>89</v>
      </c>
      <c r="D47" s="22" t="s">
        <v>17</v>
      </c>
      <c r="E47" s="22" t="s">
        <v>116</v>
      </c>
      <c r="F47" s="22" t="s">
        <v>117</v>
      </c>
      <c r="G47" s="22" t="s">
        <v>85</v>
      </c>
      <c r="H47" s="22" t="s">
        <v>21</v>
      </c>
      <c r="I47" s="22" t="s">
        <v>31</v>
      </c>
      <c r="J47" s="22" t="s">
        <v>86</v>
      </c>
      <c r="K47" s="23">
        <v>1</v>
      </c>
      <c r="L47" s="24">
        <v>17229.09</v>
      </c>
      <c r="M47" s="24">
        <v>17229.09</v>
      </c>
      <c r="N47" s="24">
        <v>13561.92</v>
      </c>
      <c r="O47" s="25">
        <v>3667.17</v>
      </c>
    </row>
    <row r="48" spans="1:15" x14ac:dyDescent="0.3">
      <c r="A48" s="14" t="s">
        <v>123</v>
      </c>
      <c r="B48" s="15">
        <v>45979</v>
      </c>
      <c r="C48" s="16" t="s">
        <v>89</v>
      </c>
      <c r="D48" s="16" t="s">
        <v>39</v>
      </c>
      <c r="E48" s="16" t="s">
        <v>71</v>
      </c>
      <c r="F48" s="16" t="s">
        <v>72</v>
      </c>
      <c r="G48" s="16" t="s">
        <v>85</v>
      </c>
      <c r="H48" s="16" t="s">
        <v>30</v>
      </c>
      <c r="I48" s="16" t="s">
        <v>53</v>
      </c>
      <c r="J48" s="16" t="s">
        <v>64</v>
      </c>
      <c r="K48" s="17">
        <v>11</v>
      </c>
      <c r="L48" s="18">
        <v>8610.16</v>
      </c>
      <c r="M48" s="18">
        <v>94711.76</v>
      </c>
      <c r="N48" s="18">
        <v>67156.539999999994</v>
      </c>
      <c r="O48" s="19">
        <v>27555.22</v>
      </c>
    </row>
    <row r="49" spans="1:15" x14ac:dyDescent="0.3">
      <c r="A49" s="20" t="s">
        <v>124</v>
      </c>
      <c r="B49" s="21">
        <v>45667</v>
      </c>
      <c r="C49" s="22" t="s">
        <v>78</v>
      </c>
      <c r="D49" s="22" t="s">
        <v>39</v>
      </c>
      <c r="E49" s="22" t="s">
        <v>80</v>
      </c>
      <c r="F49" s="22" t="s">
        <v>81</v>
      </c>
      <c r="G49" s="22" t="s">
        <v>20</v>
      </c>
      <c r="H49" s="22" t="s">
        <v>21</v>
      </c>
      <c r="I49" s="22" t="s">
        <v>22</v>
      </c>
      <c r="J49" s="22" t="s">
        <v>68</v>
      </c>
      <c r="K49" s="23">
        <v>9</v>
      </c>
      <c r="L49" s="24">
        <v>2691.77</v>
      </c>
      <c r="M49" s="24">
        <v>24225.93</v>
      </c>
      <c r="N49" s="24">
        <v>13519.26</v>
      </c>
      <c r="O49" s="25">
        <v>10706.67</v>
      </c>
    </row>
    <row r="50" spans="1:15" x14ac:dyDescent="0.3">
      <c r="A50" s="14" t="s">
        <v>125</v>
      </c>
      <c r="B50" s="15">
        <v>45783</v>
      </c>
      <c r="C50" s="16" t="s">
        <v>56</v>
      </c>
      <c r="D50" s="16" t="s">
        <v>49</v>
      </c>
      <c r="E50" s="16" t="s">
        <v>83</v>
      </c>
      <c r="F50" s="16" t="s">
        <v>84</v>
      </c>
      <c r="G50" s="16" t="s">
        <v>29</v>
      </c>
      <c r="H50" s="16" t="s">
        <v>35</v>
      </c>
      <c r="I50" s="16" t="s">
        <v>53</v>
      </c>
      <c r="J50" s="16" t="s">
        <v>64</v>
      </c>
      <c r="K50" s="17">
        <v>7</v>
      </c>
      <c r="L50" s="18">
        <v>9679.92</v>
      </c>
      <c r="M50" s="18">
        <v>67759.44</v>
      </c>
      <c r="N50" s="18">
        <v>42565.81</v>
      </c>
      <c r="O50" s="19">
        <v>25193.63</v>
      </c>
    </row>
    <row r="51" spans="1:15" x14ac:dyDescent="0.3">
      <c r="A51" s="20" t="s">
        <v>126</v>
      </c>
      <c r="B51" s="21">
        <v>45768</v>
      </c>
      <c r="C51" s="22" t="s">
        <v>25</v>
      </c>
      <c r="D51" s="22" t="s">
        <v>17</v>
      </c>
      <c r="E51" s="22" t="s">
        <v>18</v>
      </c>
      <c r="F51" s="22" t="s">
        <v>19</v>
      </c>
      <c r="G51" s="22" t="s">
        <v>85</v>
      </c>
      <c r="H51" s="22" t="s">
        <v>35</v>
      </c>
      <c r="I51" s="22" t="s">
        <v>22</v>
      </c>
      <c r="J51" s="22" t="s">
        <v>68</v>
      </c>
      <c r="K51" s="23">
        <v>3</v>
      </c>
      <c r="L51" s="24">
        <v>2476.7600000000002</v>
      </c>
      <c r="M51" s="24">
        <v>7430.28</v>
      </c>
      <c r="N51" s="24">
        <v>4431.3900000000003</v>
      </c>
      <c r="O51" s="25">
        <v>2998.89</v>
      </c>
    </row>
    <row r="52" spans="1:15" x14ac:dyDescent="0.3">
      <c r="A52" s="14" t="s">
        <v>127</v>
      </c>
      <c r="B52" s="15">
        <v>45685</v>
      </c>
      <c r="C52" s="16" t="s">
        <v>78</v>
      </c>
      <c r="D52" s="16" t="s">
        <v>17</v>
      </c>
      <c r="E52" s="16" t="s">
        <v>116</v>
      </c>
      <c r="F52" s="16" t="s">
        <v>117</v>
      </c>
      <c r="G52" s="16" t="s">
        <v>46</v>
      </c>
      <c r="H52" s="16" t="s">
        <v>35</v>
      </c>
      <c r="I52" s="16" t="s">
        <v>22</v>
      </c>
      <c r="J52" s="16" t="s">
        <v>36</v>
      </c>
      <c r="K52" s="17">
        <v>7</v>
      </c>
      <c r="L52" s="18">
        <v>859.04</v>
      </c>
      <c r="M52" s="18">
        <v>6013.28</v>
      </c>
      <c r="N52" s="18">
        <v>3354.54</v>
      </c>
      <c r="O52" s="19">
        <v>2658.74</v>
      </c>
    </row>
    <row r="53" spans="1:15" x14ac:dyDescent="0.3">
      <c r="A53" s="20" t="s">
        <v>128</v>
      </c>
      <c r="B53" s="21">
        <v>45853</v>
      </c>
      <c r="C53" s="22" t="s">
        <v>100</v>
      </c>
      <c r="D53" s="22" t="s">
        <v>39</v>
      </c>
      <c r="E53" s="22" t="s">
        <v>71</v>
      </c>
      <c r="F53" s="22" t="s">
        <v>72</v>
      </c>
      <c r="G53" s="22" t="s">
        <v>85</v>
      </c>
      <c r="H53" s="22" t="s">
        <v>35</v>
      </c>
      <c r="I53" s="22" t="s">
        <v>53</v>
      </c>
      <c r="J53" s="22" t="s">
        <v>61</v>
      </c>
      <c r="K53" s="23">
        <v>8</v>
      </c>
      <c r="L53" s="24">
        <v>6225.72</v>
      </c>
      <c r="M53" s="24">
        <v>49805.760000000002</v>
      </c>
      <c r="N53" s="24">
        <v>32824</v>
      </c>
      <c r="O53" s="25">
        <v>16981.759999999998</v>
      </c>
    </row>
    <row r="54" spans="1:15" x14ac:dyDescent="0.3">
      <c r="A54" s="14" t="s">
        <v>129</v>
      </c>
      <c r="B54" s="15">
        <v>45659</v>
      </c>
      <c r="C54" s="16" t="s">
        <v>78</v>
      </c>
      <c r="D54" s="16" t="s">
        <v>39</v>
      </c>
      <c r="E54" s="16" t="s">
        <v>40</v>
      </c>
      <c r="F54" s="16" t="s">
        <v>41</v>
      </c>
      <c r="G54" s="16" t="s">
        <v>63</v>
      </c>
      <c r="H54" s="16" t="s">
        <v>35</v>
      </c>
      <c r="I54" s="16" t="s">
        <v>53</v>
      </c>
      <c r="J54" s="16" t="s">
        <v>61</v>
      </c>
      <c r="K54" s="17">
        <v>1</v>
      </c>
      <c r="L54" s="18">
        <v>6986.53</v>
      </c>
      <c r="M54" s="18">
        <v>6986.53</v>
      </c>
      <c r="N54" s="18">
        <v>4120.01</v>
      </c>
      <c r="O54" s="19">
        <v>2866.52</v>
      </c>
    </row>
    <row r="55" spans="1:15" x14ac:dyDescent="0.3">
      <c r="A55" s="20" t="s">
        <v>130</v>
      </c>
      <c r="B55" s="21">
        <v>45840</v>
      </c>
      <c r="C55" s="22" t="s">
        <v>100</v>
      </c>
      <c r="D55" s="22" t="s">
        <v>17</v>
      </c>
      <c r="E55" s="22" t="s">
        <v>116</v>
      </c>
      <c r="F55" s="22" t="s">
        <v>117</v>
      </c>
      <c r="G55" s="22" t="s">
        <v>63</v>
      </c>
      <c r="H55" s="22" t="s">
        <v>30</v>
      </c>
      <c r="I55" s="22" t="s">
        <v>31</v>
      </c>
      <c r="J55" s="22" t="s">
        <v>86</v>
      </c>
      <c r="K55" s="23">
        <v>5</v>
      </c>
      <c r="L55" s="24">
        <v>18097.46</v>
      </c>
      <c r="M55" s="24">
        <v>90487.3</v>
      </c>
      <c r="N55" s="24">
        <v>63056.35</v>
      </c>
      <c r="O55" s="25">
        <v>27430.95</v>
      </c>
    </row>
    <row r="56" spans="1:15" x14ac:dyDescent="0.3">
      <c r="A56" s="14" t="s">
        <v>131</v>
      </c>
      <c r="B56" s="15">
        <v>45916</v>
      </c>
      <c r="C56" s="16" t="s">
        <v>74</v>
      </c>
      <c r="D56" s="16" t="s">
        <v>26</v>
      </c>
      <c r="E56" s="16" t="s">
        <v>27</v>
      </c>
      <c r="F56" s="16" t="s">
        <v>28</v>
      </c>
      <c r="G56" s="16" t="s">
        <v>59</v>
      </c>
      <c r="H56" s="16" t="s">
        <v>21</v>
      </c>
      <c r="I56" s="16" t="s">
        <v>31</v>
      </c>
      <c r="J56" s="16" t="s">
        <v>86</v>
      </c>
      <c r="K56" s="17">
        <v>10</v>
      </c>
      <c r="L56" s="18">
        <v>16852.5</v>
      </c>
      <c r="M56" s="18">
        <v>168525</v>
      </c>
      <c r="N56" s="18">
        <v>123792.4</v>
      </c>
      <c r="O56" s="19">
        <v>44732.6</v>
      </c>
    </row>
    <row r="57" spans="1:15" x14ac:dyDescent="0.3">
      <c r="A57" s="20" t="s">
        <v>132</v>
      </c>
      <c r="B57" s="21">
        <v>45813</v>
      </c>
      <c r="C57" s="22" t="s">
        <v>16</v>
      </c>
      <c r="D57" s="22" t="s">
        <v>17</v>
      </c>
      <c r="E57" s="22" t="s">
        <v>116</v>
      </c>
      <c r="F57" s="22" t="s">
        <v>117</v>
      </c>
      <c r="G57" s="22" t="s">
        <v>42</v>
      </c>
      <c r="H57" s="22" t="s">
        <v>35</v>
      </c>
      <c r="I57" s="22" t="s">
        <v>22</v>
      </c>
      <c r="J57" s="22" t="s">
        <v>68</v>
      </c>
      <c r="K57" s="23">
        <v>7</v>
      </c>
      <c r="L57" s="24">
        <v>2611.62</v>
      </c>
      <c r="M57" s="24">
        <v>18281.34</v>
      </c>
      <c r="N57" s="24">
        <v>10731.7</v>
      </c>
      <c r="O57" s="25">
        <v>7549.64</v>
      </c>
    </row>
    <row r="58" spans="1:15" x14ac:dyDescent="0.3">
      <c r="A58" s="14" t="s">
        <v>133</v>
      </c>
      <c r="B58" s="15">
        <v>45911</v>
      </c>
      <c r="C58" s="16" t="s">
        <v>74</v>
      </c>
      <c r="D58" s="16" t="s">
        <v>17</v>
      </c>
      <c r="E58" s="16" t="s">
        <v>18</v>
      </c>
      <c r="F58" s="16" t="s">
        <v>19</v>
      </c>
      <c r="G58" s="16" t="s">
        <v>42</v>
      </c>
      <c r="H58" s="16" t="s">
        <v>21</v>
      </c>
      <c r="I58" s="16" t="s">
        <v>22</v>
      </c>
      <c r="J58" s="16" t="s">
        <v>68</v>
      </c>
      <c r="K58" s="17">
        <v>11</v>
      </c>
      <c r="L58" s="18">
        <v>2485.9699999999998</v>
      </c>
      <c r="M58" s="18">
        <v>27345.67</v>
      </c>
      <c r="N58" s="18">
        <v>16831.759999999998</v>
      </c>
      <c r="O58" s="19">
        <v>10513.91</v>
      </c>
    </row>
    <row r="59" spans="1:15" x14ac:dyDescent="0.3">
      <c r="A59" s="20" t="s">
        <v>134</v>
      </c>
      <c r="B59" s="21">
        <v>45916</v>
      </c>
      <c r="C59" s="22" t="s">
        <v>74</v>
      </c>
      <c r="D59" s="22" t="s">
        <v>17</v>
      </c>
      <c r="E59" s="22" t="s">
        <v>92</v>
      </c>
      <c r="F59" s="22" t="s">
        <v>93</v>
      </c>
      <c r="G59" s="22" t="s">
        <v>20</v>
      </c>
      <c r="H59" s="22" t="s">
        <v>35</v>
      </c>
      <c r="I59" s="22" t="s">
        <v>22</v>
      </c>
      <c r="J59" s="22" t="s">
        <v>68</v>
      </c>
      <c r="K59" s="23">
        <v>11</v>
      </c>
      <c r="L59" s="24">
        <v>2683.53</v>
      </c>
      <c r="M59" s="24">
        <v>29518.83</v>
      </c>
      <c r="N59" s="24">
        <v>16735.73</v>
      </c>
      <c r="O59" s="25">
        <v>12783.1</v>
      </c>
    </row>
    <row r="60" spans="1:15" x14ac:dyDescent="0.3">
      <c r="A60" s="14" t="s">
        <v>135</v>
      </c>
      <c r="B60" s="15">
        <v>45701</v>
      </c>
      <c r="C60" s="16" t="s">
        <v>45</v>
      </c>
      <c r="D60" s="16" t="s">
        <v>26</v>
      </c>
      <c r="E60" s="16" t="s">
        <v>27</v>
      </c>
      <c r="F60" s="16" t="s">
        <v>28</v>
      </c>
      <c r="G60" s="16" t="s">
        <v>42</v>
      </c>
      <c r="H60" s="16" t="s">
        <v>35</v>
      </c>
      <c r="I60" s="16" t="s">
        <v>53</v>
      </c>
      <c r="J60" s="16" t="s">
        <v>61</v>
      </c>
      <c r="K60" s="17">
        <v>7</v>
      </c>
      <c r="L60" s="18">
        <v>6859.93</v>
      </c>
      <c r="M60" s="18">
        <v>48019.51</v>
      </c>
      <c r="N60" s="18">
        <v>29572.06</v>
      </c>
      <c r="O60" s="19">
        <v>18447.45</v>
      </c>
    </row>
    <row r="61" spans="1:15" x14ac:dyDescent="0.3">
      <c r="A61" s="20" t="s">
        <v>136</v>
      </c>
      <c r="B61" s="21">
        <v>45979</v>
      </c>
      <c r="C61" s="22" t="s">
        <v>89</v>
      </c>
      <c r="D61" s="22" t="s">
        <v>26</v>
      </c>
      <c r="E61" s="22" t="s">
        <v>57</v>
      </c>
      <c r="F61" s="22" t="s">
        <v>58</v>
      </c>
      <c r="G61" s="22" t="s">
        <v>85</v>
      </c>
      <c r="H61" s="22" t="s">
        <v>30</v>
      </c>
      <c r="I61" s="22" t="s">
        <v>53</v>
      </c>
      <c r="J61" s="22" t="s">
        <v>61</v>
      </c>
      <c r="K61" s="23">
        <v>8</v>
      </c>
      <c r="L61" s="24">
        <v>6822.76</v>
      </c>
      <c r="M61" s="24">
        <v>54582.080000000002</v>
      </c>
      <c r="N61" s="24">
        <v>34434.160000000003</v>
      </c>
      <c r="O61" s="25">
        <v>20147.919999999998</v>
      </c>
    </row>
    <row r="62" spans="1:15" x14ac:dyDescent="0.3">
      <c r="A62" s="14" t="s">
        <v>137</v>
      </c>
      <c r="B62" s="15">
        <v>45915</v>
      </c>
      <c r="C62" s="16" t="s">
        <v>74</v>
      </c>
      <c r="D62" s="16" t="s">
        <v>26</v>
      </c>
      <c r="E62" s="16" t="s">
        <v>57</v>
      </c>
      <c r="F62" s="16" t="s">
        <v>58</v>
      </c>
      <c r="G62" s="16" t="s">
        <v>46</v>
      </c>
      <c r="H62" s="16" t="s">
        <v>35</v>
      </c>
      <c r="I62" s="16" t="s">
        <v>22</v>
      </c>
      <c r="J62" s="16" t="s">
        <v>36</v>
      </c>
      <c r="K62" s="17">
        <v>5</v>
      </c>
      <c r="L62" s="18">
        <v>946.24</v>
      </c>
      <c r="M62" s="18">
        <v>4731.2</v>
      </c>
      <c r="N62" s="18">
        <v>2586.5500000000002</v>
      </c>
      <c r="O62" s="19">
        <v>2144.65</v>
      </c>
    </row>
    <row r="63" spans="1:15" x14ac:dyDescent="0.3">
      <c r="A63" s="20" t="s">
        <v>138</v>
      </c>
      <c r="B63" s="21">
        <v>45778</v>
      </c>
      <c r="C63" s="22" t="s">
        <v>56</v>
      </c>
      <c r="D63" s="22" t="s">
        <v>17</v>
      </c>
      <c r="E63" s="22" t="s">
        <v>116</v>
      </c>
      <c r="F63" s="22" t="s">
        <v>117</v>
      </c>
      <c r="G63" s="22" t="s">
        <v>52</v>
      </c>
      <c r="H63" s="22" t="s">
        <v>30</v>
      </c>
      <c r="I63" s="22" t="s">
        <v>53</v>
      </c>
      <c r="J63" s="22" t="s">
        <v>61</v>
      </c>
      <c r="K63" s="23">
        <v>8</v>
      </c>
      <c r="L63" s="24">
        <v>6932.7</v>
      </c>
      <c r="M63" s="24">
        <v>55461.599999999999</v>
      </c>
      <c r="N63" s="24">
        <v>32885.360000000001</v>
      </c>
      <c r="O63" s="25">
        <v>22576.240000000002</v>
      </c>
    </row>
    <row r="64" spans="1:15" x14ac:dyDescent="0.3">
      <c r="A64" s="14" t="s">
        <v>139</v>
      </c>
      <c r="B64" s="15">
        <v>45681</v>
      </c>
      <c r="C64" s="16" t="s">
        <v>78</v>
      </c>
      <c r="D64" s="16" t="s">
        <v>17</v>
      </c>
      <c r="E64" s="16" t="s">
        <v>116</v>
      </c>
      <c r="F64" s="16" t="s">
        <v>117</v>
      </c>
      <c r="G64" s="16" t="s">
        <v>42</v>
      </c>
      <c r="H64" s="16" t="s">
        <v>30</v>
      </c>
      <c r="I64" s="16" t="s">
        <v>53</v>
      </c>
      <c r="J64" s="16" t="s">
        <v>64</v>
      </c>
      <c r="K64" s="17">
        <v>12</v>
      </c>
      <c r="L64" s="18">
        <v>9305.4</v>
      </c>
      <c r="M64" s="18">
        <v>111664.8</v>
      </c>
      <c r="N64" s="18">
        <v>75301.320000000007</v>
      </c>
      <c r="O64" s="19">
        <v>36363.480000000003</v>
      </c>
    </row>
    <row r="65" spans="1:15" x14ac:dyDescent="0.3">
      <c r="A65" s="20" t="s">
        <v>140</v>
      </c>
      <c r="B65" s="21">
        <v>45726</v>
      </c>
      <c r="C65" s="22" t="s">
        <v>38</v>
      </c>
      <c r="D65" s="22" t="s">
        <v>26</v>
      </c>
      <c r="E65" s="22" t="s">
        <v>27</v>
      </c>
      <c r="F65" s="22" t="s">
        <v>121</v>
      </c>
      <c r="G65" s="22" t="s">
        <v>20</v>
      </c>
      <c r="H65" s="22" t="s">
        <v>30</v>
      </c>
      <c r="I65" s="22" t="s">
        <v>53</v>
      </c>
      <c r="J65" s="22" t="s">
        <v>64</v>
      </c>
      <c r="K65" s="23">
        <v>2</v>
      </c>
      <c r="L65" s="24">
        <v>9304.4500000000007</v>
      </c>
      <c r="M65" s="24">
        <v>18608.900000000001</v>
      </c>
      <c r="N65" s="24">
        <v>12617.88</v>
      </c>
      <c r="O65" s="25">
        <v>5991.02</v>
      </c>
    </row>
    <row r="66" spans="1:15" x14ac:dyDescent="0.3">
      <c r="A66" s="14" t="s">
        <v>141</v>
      </c>
      <c r="B66" s="15">
        <v>45806</v>
      </c>
      <c r="C66" s="16" t="s">
        <v>56</v>
      </c>
      <c r="D66" s="16" t="s">
        <v>39</v>
      </c>
      <c r="E66" s="16" t="s">
        <v>40</v>
      </c>
      <c r="F66" s="16" t="s">
        <v>41</v>
      </c>
      <c r="G66" s="16" t="s">
        <v>52</v>
      </c>
      <c r="H66" s="16" t="s">
        <v>30</v>
      </c>
      <c r="I66" s="16" t="s">
        <v>31</v>
      </c>
      <c r="J66" s="16" t="s">
        <v>43</v>
      </c>
      <c r="K66" s="17">
        <v>4</v>
      </c>
      <c r="L66" s="18">
        <v>11721.01</v>
      </c>
      <c r="M66" s="18">
        <v>46884.04</v>
      </c>
      <c r="N66" s="18">
        <v>30674.720000000001</v>
      </c>
      <c r="O66" s="19">
        <v>16209.32</v>
      </c>
    </row>
    <row r="67" spans="1:15" x14ac:dyDescent="0.3">
      <c r="A67" s="20" t="s">
        <v>142</v>
      </c>
      <c r="B67" s="21">
        <v>45900</v>
      </c>
      <c r="C67" s="22" t="s">
        <v>70</v>
      </c>
      <c r="D67" s="22" t="s">
        <v>26</v>
      </c>
      <c r="E67" s="22" t="s">
        <v>27</v>
      </c>
      <c r="F67" s="22" t="s">
        <v>121</v>
      </c>
      <c r="G67" s="22" t="s">
        <v>52</v>
      </c>
      <c r="H67" s="22" t="s">
        <v>21</v>
      </c>
      <c r="I67" s="22" t="s">
        <v>22</v>
      </c>
      <c r="J67" s="22" t="s">
        <v>36</v>
      </c>
      <c r="K67" s="23">
        <v>5</v>
      </c>
      <c r="L67" s="24">
        <v>889.22</v>
      </c>
      <c r="M67" s="24">
        <v>4446.1000000000004</v>
      </c>
      <c r="N67" s="24">
        <v>2604.15</v>
      </c>
      <c r="O67" s="25">
        <v>1841.95</v>
      </c>
    </row>
    <row r="68" spans="1:15" x14ac:dyDescent="0.3">
      <c r="A68" s="14" t="s">
        <v>143</v>
      </c>
      <c r="B68" s="15">
        <v>45765</v>
      </c>
      <c r="C68" s="16" t="s">
        <v>25</v>
      </c>
      <c r="D68" s="16" t="s">
        <v>26</v>
      </c>
      <c r="E68" s="16" t="s">
        <v>57</v>
      </c>
      <c r="F68" s="16" t="s">
        <v>58</v>
      </c>
      <c r="G68" s="16" t="s">
        <v>46</v>
      </c>
      <c r="H68" s="16" t="s">
        <v>21</v>
      </c>
      <c r="I68" s="16" t="s">
        <v>22</v>
      </c>
      <c r="J68" s="16" t="s">
        <v>68</v>
      </c>
      <c r="K68" s="17">
        <v>5</v>
      </c>
      <c r="L68" s="18">
        <v>2682.28</v>
      </c>
      <c r="M68" s="18">
        <v>13411.4</v>
      </c>
      <c r="N68" s="18">
        <v>7224.45</v>
      </c>
      <c r="O68" s="19">
        <v>6186.95</v>
      </c>
    </row>
    <row r="69" spans="1:15" x14ac:dyDescent="0.3">
      <c r="A69" s="20" t="s">
        <v>144</v>
      </c>
      <c r="B69" s="21">
        <v>45981</v>
      </c>
      <c r="C69" s="22" t="s">
        <v>89</v>
      </c>
      <c r="D69" s="22" t="s">
        <v>39</v>
      </c>
      <c r="E69" s="22" t="s">
        <v>80</v>
      </c>
      <c r="F69" s="22" t="s">
        <v>81</v>
      </c>
      <c r="G69" s="22" t="s">
        <v>63</v>
      </c>
      <c r="H69" s="22" t="s">
        <v>21</v>
      </c>
      <c r="I69" s="22" t="s">
        <v>53</v>
      </c>
      <c r="J69" s="22" t="s">
        <v>54</v>
      </c>
      <c r="K69" s="23">
        <v>7</v>
      </c>
      <c r="L69" s="24">
        <v>10270.98</v>
      </c>
      <c r="M69" s="24">
        <v>71896.86</v>
      </c>
      <c r="N69" s="24">
        <v>50559.11</v>
      </c>
      <c r="O69" s="25">
        <v>21337.75</v>
      </c>
    </row>
    <row r="70" spans="1:15" x14ac:dyDescent="0.3">
      <c r="A70" s="14" t="s">
        <v>145</v>
      </c>
      <c r="B70" s="15">
        <v>45909</v>
      </c>
      <c r="C70" s="16" t="s">
        <v>74</v>
      </c>
      <c r="D70" s="16" t="s">
        <v>49</v>
      </c>
      <c r="E70" s="16" t="s">
        <v>50</v>
      </c>
      <c r="F70" s="16" t="s">
        <v>51</v>
      </c>
      <c r="G70" s="16" t="s">
        <v>59</v>
      </c>
      <c r="H70" s="16" t="s">
        <v>35</v>
      </c>
      <c r="I70" s="16" t="s">
        <v>31</v>
      </c>
      <c r="J70" s="16" t="s">
        <v>86</v>
      </c>
      <c r="K70" s="17">
        <v>6</v>
      </c>
      <c r="L70" s="18">
        <v>17755.490000000002</v>
      </c>
      <c r="M70" s="18">
        <v>106532.94</v>
      </c>
      <c r="N70" s="18">
        <v>75043.08</v>
      </c>
      <c r="O70" s="19">
        <v>31489.86</v>
      </c>
    </row>
    <row r="71" spans="1:15" x14ac:dyDescent="0.3">
      <c r="A71" s="20" t="s">
        <v>146</v>
      </c>
      <c r="B71" s="21">
        <v>45827</v>
      </c>
      <c r="C71" s="22" t="s">
        <v>16</v>
      </c>
      <c r="D71" s="22" t="s">
        <v>26</v>
      </c>
      <c r="E71" s="22" t="s">
        <v>27</v>
      </c>
      <c r="F71" s="22" t="s">
        <v>121</v>
      </c>
      <c r="G71" s="22" t="s">
        <v>63</v>
      </c>
      <c r="H71" s="22" t="s">
        <v>30</v>
      </c>
      <c r="I71" s="22" t="s">
        <v>31</v>
      </c>
      <c r="J71" s="22" t="s">
        <v>32</v>
      </c>
      <c r="K71" s="23">
        <v>12</v>
      </c>
      <c r="L71" s="24">
        <v>48451.43</v>
      </c>
      <c r="M71" s="24">
        <v>581417.16</v>
      </c>
      <c r="N71" s="24">
        <v>503803.44</v>
      </c>
      <c r="O71" s="25">
        <v>77613.72</v>
      </c>
    </row>
    <row r="72" spans="1:15" x14ac:dyDescent="0.3">
      <c r="A72" s="14" t="s">
        <v>147</v>
      </c>
      <c r="B72" s="15">
        <v>45787</v>
      </c>
      <c r="C72" s="16" t="s">
        <v>56</v>
      </c>
      <c r="D72" s="16" t="s">
        <v>39</v>
      </c>
      <c r="E72" s="16" t="s">
        <v>80</v>
      </c>
      <c r="F72" s="16" t="s">
        <v>81</v>
      </c>
      <c r="G72" s="16" t="s">
        <v>29</v>
      </c>
      <c r="H72" s="16" t="s">
        <v>30</v>
      </c>
      <c r="I72" s="16" t="s">
        <v>22</v>
      </c>
      <c r="J72" s="16" t="s">
        <v>23</v>
      </c>
      <c r="K72" s="17">
        <v>6</v>
      </c>
      <c r="L72" s="18">
        <v>1282.57</v>
      </c>
      <c r="M72" s="18">
        <v>7695.42</v>
      </c>
      <c r="N72" s="18">
        <v>4307.3999999999996</v>
      </c>
      <c r="O72" s="19">
        <v>3388.02</v>
      </c>
    </row>
    <row r="73" spans="1:15" x14ac:dyDescent="0.3">
      <c r="A73" s="20" t="s">
        <v>148</v>
      </c>
      <c r="B73" s="21">
        <v>45682</v>
      </c>
      <c r="C73" s="22" t="s">
        <v>78</v>
      </c>
      <c r="D73" s="22" t="s">
        <v>39</v>
      </c>
      <c r="E73" s="22" t="s">
        <v>80</v>
      </c>
      <c r="F73" s="22" t="s">
        <v>81</v>
      </c>
      <c r="G73" s="22" t="s">
        <v>20</v>
      </c>
      <c r="H73" s="22" t="s">
        <v>35</v>
      </c>
      <c r="I73" s="22" t="s">
        <v>53</v>
      </c>
      <c r="J73" s="22" t="s">
        <v>64</v>
      </c>
      <c r="K73" s="23">
        <v>3</v>
      </c>
      <c r="L73" s="24">
        <v>8706.59</v>
      </c>
      <c r="M73" s="24">
        <v>26119.77</v>
      </c>
      <c r="N73" s="24">
        <v>18164.25</v>
      </c>
      <c r="O73" s="25">
        <v>7955.52</v>
      </c>
    </row>
    <row r="74" spans="1:15" x14ac:dyDescent="0.3">
      <c r="A74" s="14" t="s">
        <v>149</v>
      </c>
      <c r="B74" s="15">
        <v>45919</v>
      </c>
      <c r="C74" s="16" t="s">
        <v>74</v>
      </c>
      <c r="D74" s="16" t="s">
        <v>39</v>
      </c>
      <c r="E74" s="16" t="s">
        <v>80</v>
      </c>
      <c r="F74" s="16" t="s">
        <v>81</v>
      </c>
      <c r="G74" s="16" t="s">
        <v>63</v>
      </c>
      <c r="H74" s="16" t="s">
        <v>30</v>
      </c>
      <c r="I74" s="16" t="s">
        <v>31</v>
      </c>
      <c r="J74" s="16" t="s">
        <v>43</v>
      </c>
      <c r="K74" s="17">
        <v>7</v>
      </c>
      <c r="L74" s="18">
        <v>12804.16</v>
      </c>
      <c r="M74" s="18">
        <v>89629.119999999995</v>
      </c>
      <c r="N74" s="18">
        <v>58467.92</v>
      </c>
      <c r="O74" s="19">
        <v>31161.200000000001</v>
      </c>
    </row>
    <row r="75" spans="1:15" x14ac:dyDescent="0.3">
      <c r="A75" s="20" t="s">
        <v>150</v>
      </c>
      <c r="B75" s="21">
        <v>45939</v>
      </c>
      <c r="C75" s="22" t="s">
        <v>34</v>
      </c>
      <c r="D75" s="22" t="s">
        <v>17</v>
      </c>
      <c r="E75" s="22" t="s">
        <v>92</v>
      </c>
      <c r="F75" s="22" t="s">
        <v>93</v>
      </c>
      <c r="G75" s="22" t="s">
        <v>46</v>
      </c>
      <c r="H75" s="22" t="s">
        <v>21</v>
      </c>
      <c r="I75" s="22" t="s">
        <v>22</v>
      </c>
      <c r="J75" s="22" t="s">
        <v>36</v>
      </c>
      <c r="K75" s="23">
        <v>8</v>
      </c>
      <c r="L75" s="24">
        <v>920.01</v>
      </c>
      <c r="M75" s="24">
        <v>7360.08</v>
      </c>
      <c r="N75" s="24">
        <v>3855.44</v>
      </c>
      <c r="O75" s="25">
        <v>3504.64</v>
      </c>
    </row>
    <row r="76" spans="1:15" x14ac:dyDescent="0.3">
      <c r="A76" s="14" t="s">
        <v>151</v>
      </c>
      <c r="B76" s="15">
        <v>45804</v>
      </c>
      <c r="C76" s="16" t="s">
        <v>56</v>
      </c>
      <c r="D76" s="16" t="s">
        <v>49</v>
      </c>
      <c r="E76" s="16" t="s">
        <v>83</v>
      </c>
      <c r="F76" s="16" t="s">
        <v>84</v>
      </c>
      <c r="G76" s="16" t="s">
        <v>42</v>
      </c>
      <c r="H76" s="16" t="s">
        <v>21</v>
      </c>
      <c r="I76" s="16" t="s">
        <v>53</v>
      </c>
      <c r="J76" s="16" t="s">
        <v>54</v>
      </c>
      <c r="K76" s="17">
        <v>6</v>
      </c>
      <c r="L76" s="18">
        <v>10694.88</v>
      </c>
      <c r="M76" s="18">
        <v>64169.279999999999</v>
      </c>
      <c r="N76" s="18">
        <v>44486.16</v>
      </c>
      <c r="O76" s="19">
        <v>19683.12</v>
      </c>
    </row>
    <row r="77" spans="1:15" x14ac:dyDescent="0.3">
      <c r="A77" s="20" t="s">
        <v>152</v>
      </c>
      <c r="B77" s="21">
        <v>45992</v>
      </c>
      <c r="C77" s="22" t="s">
        <v>48</v>
      </c>
      <c r="D77" s="22" t="s">
        <v>39</v>
      </c>
      <c r="E77" s="22" t="s">
        <v>40</v>
      </c>
      <c r="F77" s="22" t="s">
        <v>41</v>
      </c>
      <c r="G77" s="22" t="s">
        <v>85</v>
      </c>
      <c r="H77" s="22" t="s">
        <v>30</v>
      </c>
      <c r="I77" s="22" t="s">
        <v>53</v>
      </c>
      <c r="J77" s="22" t="s">
        <v>64</v>
      </c>
      <c r="K77" s="23">
        <v>11</v>
      </c>
      <c r="L77" s="24">
        <v>8902.4</v>
      </c>
      <c r="M77" s="24">
        <v>97926.399999999994</v>
      </c>
      <c r="N77" s="24">
        <v>65931.25</v>
      </c>
      <c r="O77" s="25">
        <v>31995.15</v>
      </c>
    </row>
    <row r="78" spans="1:15" x14ac:dyDescent="0.3">
      <c r="A78" s="14" t="s">
        <v>153</v>
      </c>
      <c r="B78" s="15">
        <v>45740</v>
      </c>
      <c r="C78" s="16" t="s">
        <v>38</v>
      </c>
      <c r="D78" s="16" t="s">
        <v>26</v>
      </c>
      <c r="E78" s="16" t="s">
        <v>27</v>
      </c>
      <c r="F78" s="16" t="s">
        <v>28</v>
      </c>
      <c r="G78" s="16" t="s">
        <v>52</v>
      </c>
      <c r="H78" s="16" t="s">
        <v>35</v>
      </c>
      <c r="I78" s="16" t="s">
        <v>31</v>
      </c>
      <c r="J78" s="16" t="s">
        <v>86</v>
      </c>
      <c r="K78" s="17">
        <v>6</v>
      </c>
      <c r="L78" s="18">
        <v>19430.48</v>
      </c>
      <c r="M78" s="18">
        <v>116582.88</v>
      </c>
      <c r="N78" s="18">
        <v>77609.7</v>
      </c>
      <c r="O78" s="19">
        <v>38973.18</v>
      </c>
    </row>
    <row r="79" spans="1:15" x14ac:dyDescent="0.3">
      <c r="A79" s="20" t="s">
        <v>154</v>
      </c>
      <c r="B79" s="21">
        <v>45729</v>
      </c>
      <c r="C79" s="22" t="s">
        <v>38</v>
      </c>
      <c r="D79" s="22" t="s">
        <v>17</v>
      </c>
      <c r="E79" s="22" t="s">
        <v>116</v>
      </c>
      <c r="F79" s="22" t="s">
        <v>117</v>
      </c>
      <c r="G79" s="22" t="s">
        <v>46</v>
      </c>
      <c r="H79" s="22" t="s">
        <v>21</v>
      </c>
      <c r="I79" s="22" t="s">
        <v>53</v>
      </c>
      <c r="J79" s="22" t="s">
        <v>64</v>
      </c>
      <c r="K79" s="23">
        <v>2</v>
      </c>
      <c r="L79" s="24">
        <v>8801.0400000000009</v>
      </c>
      <c r="M79" s="24">
        <v>17602.080000000002</v>
      </c>
      <c r="N79" s="24">
        <v>12236.7</v>
      </c>
      <c r="O79" s="25">
        <v>5365.38</v>
      </c>
    </row>
    <row r="80" spans="1:15" x14ac:dyDescent="0.3">
      <c r="A80" s="14" t="s">
        <v>155</v>
      </c>
      <c r="B80" s="15">
        <v>45949</v>
      </c>
      <c r="C80" s="16" t="s">
        <v>34</v>
      </c>
      <c r="D80" s="16" t="s">
        <v>17</v>
      </c>
      <c r="E80" s="16" t="s">
        <v>116</v>
      </c>
      <c r="F80" s="16" t="s">
        <v>117</v>
      </c>
      <c r="G80" s="16" t="s">
        <v>29</v>
      </c>
      <c r="H80" s="16" t="s">
        <v>30</v>
      </c>
      <c r="I80" s="16" t="s">
        <v>53</v>
      </c>
      <c r="J80" s="16" t="s">
        <v>64</v>
      </c>
      <c r="K80" s="17">
        <v>9</v>
      </c>
      <c r="L80" s="18">
        <v>8653.51</v>
      </c>
      <c r="M80" s="18">
        <v>77881.59</v>
      </c>
      <c r="N80" s="18">
        <v>54517.95</v>
      </c>
      <c r="O80" s="19">
        <v>23363.64</v>
      </c>
    </row>
    <row r="81" spans="1:15" x14ac:dyDescent="0.3">
      <c r="A81" s="20" t="s">
        <v>156</v>
      </c>
      <c r="B81" s="21">
        <v>45689</v>
      </c>
      <c r="C81" s="22" t="s">
        <v>45</v>
      </c>
      <c r="D81" s="22" t="s">
        <v>49</v>
      </c>
      <c r="E81" s="22" t="s">
        <v>50</v>
      </c>
      <c r="F81" s="22" t="s">
        <v>51</v>
      </c>
      <c r="G81" s="22" t="s">
        <v>63</v>
      </c>
      <c r="H81" s="22" t="s">
        <v>21</v>
      </c>
      <c r="I81" s="22" t="s">
        <v>22</v>
      </c>
      <c r="J81" s="22" t="s">
        <v>68</v>
      </c>
      <c r="K81" s="23">
        <v>9</v>
      </c>
      <c r="L81" s="24">
        <v>2561.11</v>
      </c>
      <c r="M81" s="24">
        <v>23049.99</v>
      </c>
      <c r="N81" s="24">
        <v>13989.87</v>
      </c>
      <c r="O81" s="25">
        <v>9060.1200000000008</v>
      </c>
    </row>
    <row r="82" spans="1:15" x14ac:dyDescent="0.3">
      <c r="A82" s="14" t="s">
        <v>157</v>
      </c>
      <c r="B82" s="15">
        <v>45768</v>
      </c>
      <c r="C82" s="16" t="s">
        <v>25</v>
      </c>
      <c r="D82" s="16" t="s">
        <v>26</v>
      </c>
      <c r="E82" s="16" t="s">
        <v>27</v>
      </c>
      <c r="F82" s="16" t="s">
        <v>121</v>
      </c>
      <c r="G82" s="16" t="s">
        <v>85</v>
      </c>
      <c r="H82" s="16" t="s">
        <v>30</v>
      </c>
      <c r="I82" s="16" t="s">
        <v>53</v>
      </c>
      <c r="J82" s="16" t="s">
        <v>64</v>
      </c>
      <c r="K82" s="17">
        <v>8</v>
      </c>
      <c r="L82" s="18">
        <v>8952.98</v>
      </c>
      <c r="M82" s="18">
        <v>71623.839999999997</v>
      </c>
      <c r="N82" s="18">
        <v>48667.6</v>
      </c>
      <c r="O82" s="19">
        <v>22956.240000000002</v>
      </c>
    </row>
    <row r="83" spans="1:15" x14ac:dyDescent="0.3">
      <c r="A83" s="20" t="s">
        <v>158</v>
      </c>
      <c r="B83" s="21">
        <v>45669</v>
      </c>
      <c r="C83" s="22" t="s">
        <v>78</v>
      </c>
      <c r="D83" s="22" t="s">
        <v>17</v>
      </c>
      <c r="E83" s="22" t="s">
        <v>116</v>
      </c>
      <c r="F83" s="22" t="s">
        <v>117</v>
      </c>
      <c r="G83" s="22" t="s">
        <v>29</v>
      </c>
      <c r="H83" s="22" t="s">
        <v>35</v>
      </c>
      <c r="I83" s="22" t="s">
        <v>53</v>
      </c>
      <c r="J83" s="22" t="s">
        <v>64</v>
      </c>
      <c r="K83" s="23">
        <v>8</v>
      </c>
      <c r="L83" s="24">
        <v>8370.24</v>
      </c>
      <c r="M83" s="24">
        <v>66961.919999999998</v>
      </c>
      <c r="N83" s="24">
        <v>49061.919999999998</v>
      </c>
      <c r="O83" s="25">
        <v>17900</v>
      </c>
    </row>
    <row r="84" spans="1:15" x14ac:dyDescent="0.3">
      <c r="A84" s="14" t="s">
        <v>159</v>
      </c>
      <c r="B84" s="15">
        <v>45928</v>
      </c>
      <c r="C84" s="16" t="s">
        <v>74</v>
      </c>
      <c r="D84" s="16" t="s">
        <v>49</v>
      </c>
      <c r="E84" s="16" t="s">
        <v>50</v>
      </c>
      <c r="F84" s="16" t="s">
        <v>51</v>
      </c>
      <c r="G84" s="16" t="s">
        <v>85</v>
      </c>
      <c r="H84" s="16" t="s">
        <v>21</v>
      </c>
      <c r="I84" s="16" t="s">
        <v>31</v>
      </c>
      <c r="J84" s="16" t="s">
        <v>32</v>
      </c>
      <c r="K84" s="17">
        <v>3</v>
      </c>
      <c r="L84" s="18">
        <v>52434.45</v>
      </c>
      <c r="M84" s="18">
        <v>157303.35</v>
      </c>
      <c r="N84" s="18">
        <v>125239.53</v>
      </c>
      <c r="O84" s="19">
        <v>32063.82</v>
      </c>
    </row>
    <row r="85" spans="1:15" x14ac:dyDescent="0.3">
      <c r="A85" s="20" t="s">
        <v>160</v>
      </c>
      <c r="B85" s="21">
        <v>46016</v>
      </c>
      <c r="C85" s="22" t="s">
        <v>48</v>
      </c>
      <c r="D85" s="22" t="s">
        <v>49</v>
      </c>
      <c r="E85" s="22" t="s">
        <v>83</v>
      </c>
      <c r="F85" s="22" t="s">
        <v>84</v>
      </c>
      <c r="G85" s="22" t="s">
        <v>20</v>
      </c>
      <c r="H85" s="22" t="s">
        <v>21</v>
      </c>
      <c r="I85" s="22" t="s">
        <v>31</v>
      </c>
      <c r="J85" s="22" t="s">
        <v>32</v>
      </c>
      <c r="K85" s="23">
        <v>10</v>
      </c>
      <c r="L85" s="24">
        <v>55535.38</v>
      </c>
      <c r="M85" s="24">
        <v>555353.80000000005</v>
      </c>
      <c r="N85" s="24">
        <v>415965.7</v>
      </c>
      <c r="O85" s="25">
        <v>139388.1</v>
      </c>
    </row>
    <row r="86" spans="1:15" x14ac:dyDescent="0.3">
      <c r="A86" s="14" t="s">
        <v>161</v>
      </c>
      <c r="B86" s="15">
        <v>45813</v>
      </c>
      <c r="C86" s="16" t="s">
        <v>16</v>
      </c>
      <c r="D86" s="16" t="s">
        <v>17</v>
      </c>
      <c r="E86" s="16" t="s">
        <v>92</v>
      </c>
      <c r="F86" s="16" t="s">
        <v>93</v>
      </c>
      <c r="G86" s="16" t="s">
        <v>59</v>
      </c>
      <c r="H86" s="16" t="s">
        <v>35</v>
      </c>
      <c r="I86" s="16" t="s">
        <v>22</v>
      </c>
      <c r="J86" s="16" t="s">
        <v>36</v>
      </c>
      <c r="K86" s="17">
        <v>12</v>
      </c>
      <c r="L86" s="18">
        <v>940.12</v>
      </c>
      <c r="M86" s="18">
        <v>11281.44</v>
      </c>
      <c r="N86" s="18">
        <v>5759.64</v>
      </c>
      <c r="O86" s="19">
        <v>5521.8</v>
      </c>
    </row>
    <row r="87" spans="1:15" x14ac:dyDescent="0.3">
      <c r="A87" s="20" t="s">
        <v>162</v>
      </c>
      <c r="B87" s="21">
        <v>45811</v>
      </c>
      <c r="C87" s="22" t="s">
        <v>16</v>
      </c>
      <c r="D87" s="22" t="s">
        <v>17</v>
      </c>
      <c r="E87" s="22" t="s">
        <v>18</v>
      </c>
      <c r="F87" s="22" t="s">
        <v>19</v>
      </c>
      <c r="G87" s="22" t="s">
        <v>59</v>
      </c>
      <c r="H87" s="22" t="s">
        <v>21</v>
      </c>
      <c r="I87" s="22" t="s">
        <v>22</v>
      </c>
      <c r="J87" s="22" t="s">
        <v>23</v>
      </c>
      <c r="K87" s="23">
        <v>1</v>
      </c>
      <c r="L87" s="24">
        <v>1212.75</v>
      </c>
      <c r="M87" s="24">
        <v>1212.75</v>
      </c>
      <c r="N87" s="24">
        <v>734.75</v>
      </c>
      <c r="O87" s="25">
        <v>478</v>
      </c>
    </row>
    <row r="88" spans="1:15" x14ac:dyDescent="0.3">
      <c r="A88" s="14" t="s">
        <v>163</v>
      </c>
      <c r="B88" s="15">
        <v>45800</v>
      </c>
      <c r="C88" s="16" t="s">
        <v>56</v>
      </c>
      <c r="D88" s="16" t="s">
        <v>39</v>
      </c>
      <c r="E88" s="16" t="s">
        <v>71</v>
      </c>
      <c r="F88" s="16" t="s">
        <v>72</v>
      </c>
      <c r="G88" s="16" t="s">
        <v>85</v>
      </c>
      <c r="H88" s="16" t="s">
        <v>30</v>
      </c>
      <c r="I88" s="16" t="s">
        <v>22</v>
      </c>
      <c r="J88" s="16" t="s">
        <v>23</v>
      </c>
      <c r="K88" s="17">
        <v>9</v>
      </c>
      <c r="L88" s="18">
        <v>1160.47</v>
      </c>
      <c r="M88" s="18">
        <v>10444.23</v>
      </c>
      <c r="N88" s="18">
        <v>6590.16</v>
      </c>
      <c r="O88" s="19">
        <v>3854.07</v>
      </c>
    </row>
    <row r="89" spans="1:15" x14ac:dyDescent="0.3">
      <c r="A89" s="20" t="s">
        <v>164</v>
      </c>
      <c r="B89" s="21">
        <v>46018</v>
      </c>
      <c r="C89" s="22" t="s">
        <v>48</v>
      </c>
      <c r="D89" s="22" t="s">
        <v>39</v>
      </c>
      <c r="E89" s="22" t="s">
        <v>80</v>
      </c>
      <c r="F89" s="22" t="s">
        <v>81</v>
      </c>
      <c r="G89" s="22" t="s">
        <v>20</v>
      </c>
      <c r="H89" s="22" t="s">
        <v>21</v>
      </c>
      <c r="I89" s="22" t="s">
        <v>53</v>
      </c>
      <c r="J89" s="22" t="s">
        <v>64</v>
      </c>
      <c r="K89" s="23">
        <v>11</v>
      </c>
      <c r="L89" s="24">
        <v>8937.02</v>
      </c>
      <c r="M89" s="24">
        <v>98307.22</v>
      </c>
      <c r="N89" s="24">
        <v>66544.5</v>
      </c>
      <c r="O89" s="25">
        <v>31762.720000000001</v>
      </c>
    </row>
    <row r="90" spans="1:15" x14ac:dyDescent="0.3">
      <c r="A90" s="14" t="s">
        <v>165</v>
      </c>
      <c r="B90" s="15">
        <v>45999</v>
      </c>
      <c r="C90" s="16" t="s">
        <v>48</v>
      </c>
      <c r="D90" s="16" t="s">
        <v>49</v>
      </c>
      <c r="E90" s="16" t="s">
        <v>50</v>
      </c>
      <c r="F90" s="16" t="s">
        <v>51</v>
      </c>
      <c r="G90" s="16" t="s">
        <v>85</v>
      </c>
      <c r="H90" s="16" t="s">
        <v>30</v>
      </c>
      <c r="I90" s="16" t="s">
        <v>31</v>
      </c>
      <c r="J90" s="16" t="s">
        <v>43</v>
      </c>
      <c r="K90" s="17">
        <v>6</v>
      </c>
      <c r="L90" s="18">
        <v>12453</v>
      </c>
      <c r="M90" s="18">
        <v>74718</v>
      </c>
      <c r="N90" s="18">
        <v>47339.16</v>
      </c>
      <c r="O90" s="19">
        <v>27378.84</v>
      </c>
    </row>
    <row r="91" spans="1:15" x14ac:dyDescent="0.3">
      <c r="A91" s="20" t="s">
        <v>166</v>
      </c>
      <c r="B91" s="21">
        <v>45860</v>
      </c>
      <c r="C91" s="22" t="s">
        <v>100</v>
      </c>
      <c r="D91" s="22" t="s">
        <v>17</v>
      </c>
      <c r="E91" s="22" t="s">
        <v>116</v>
      </c>
      <c r="F91" s="22" t="s">
        <v>117</v>
      </c>
      <c r="G91" s="22" t="s">
        <v>59</v>
      </c>
      <c r="H91" s="22" t="s">
        <v>35</v>
      </c>
      <c r="I91" s="22" t="s">
        <v>22</v>
      </c>
      <c r="J91" s="22" t="s">
        <v>23</v>
      </c>
      <c r="K91" s="23">
        <v>4</v>
      </c>
      <c r="L91" s="24">
        <v>1205.23</v>
      </c>
      <c r="M91" s="24">
        <v>4820.92</v>
      </c>
      <c r="N91" s="24">
        <v>2716.12</v>
      </c>
      <c r="O91" s="25">
        <v>2104.8000000000002</v>
      </c>
    </row>
    <row r="92" spans="1:15" x14ac:dyDescent="0.3">
      <c r="A92" s="14" t="s">
        <v>167</v>
      </c>
      <c r="B92" s="15">
        <v>45757</v>
      </c>
      <c r="C92" s="16" t="s">
        <v>25</v>
      </c>
      <c r="D92" s="16" t="s">
        <v>17</v>
      </c>
      <c r="E92" s="16" t="s">
        <v>18</v>
      </c>
      <c r="F92" s="16" t="s">
        <v>19</v>
      </c>
      <c r="G92" s="16" t="s">
        <v>85</v>
      </c>
      <c r="H92" s="16" t="s">
        <v>30</v>
      </c>
      <c r="I92" s="16" t="s">
        <v>53</v>
      </c>
      <c r="J92" s="16" t="s">
        <v>61</v>
      </c>
      <c r="K92" s="17">
        <v>10</v>
      </c>
      <c r="L92" s="18">
        <v>6528.37</v>
      </c>
      <c r="M92" s="18">
        <v>65283.7</v>
      </c>
      <c r="N92" s="18">
        <v>40686.699999999997</v>
      </c>
      <c r="O92" s="19">
        <v>24597</v>
      </c>
    </row>
    <row r="93" spans="1:15" x14ac:dyDescent="0.3">
      <c r="A93" s="20" t="s">
        <v>168</v>
      </c>
      <c r="B93" s="21">
        <v>45772</v>
      </c>
      <c r="C93" s="22" t="s">
        <v>25</v>
      </c>
      <c r="D93" s="22" t="s">
        <v>49</v>
      </c>
      <c r="E93" s="22" t="s">
        <v>50</v>
      </c>
      <c r="F93" s="22" t="s">
        <v>51</v>
      </c>
      <c r="G93" s="22" t="s">
        <v>20</v>
      </c>
      <c r="H93" s="22" t="s">
        <v>35</v>
      </c>
      <c r="I93" s="22" t="s">
        <v>31</v>
      </c>
      <c r="J93" s="22" t="s">
        <v>86</v>
      </c>
      <c r="K93" s="23">
        <v>1</v>
      </c>
      <c r="L93" s="24">
        <v>17314.96</v>
      </c>
      <c r="M93" s="24">
        <v>17314.96</v>
      </c>
      <c r="N93" s="24">
        <v>13616.36</v>
      </c>
      <c r="O93" s="25">
        <v>3698.6</v>
      </c>
    </row>
    <row r="94" spans="1:15" x14ac:dyDescent="0.3">
      <c r="A94" s="14" t="s">
        <v>169</v>
      </c>
      <c r="B94" s="15">
        <v>45730</v>
      </c>
      <c r="C94" s="16" t="s">
        <v>38</v>
      </c>
      <c r="D94" s="16" t="s">
        <v>49</v>
      </c>
      <c r="E94" s="16" t="s">
        <v>83</v>
      </c>
      <c r="F94" s="16" t="s">
        <v>84</v>
      </c>
      <c r="G94" s="16" t="s">
        <v>20</v>
      </c>
      <c r="H94" s="16" t="s">
        <v>21</v>
      </c>
      <c r="I94" s="16" t="s">
        <v>53</v>
      </c>
      <c r="J94" s="16" t="s">
        <v>54</v>
      </c>
      <c r="K94" s="17">
        <v>12</v>
      </c>
      <c r="L94" s="18">
        <v>11687.91</v>
      </c>
      <c r="M94" s="18">
        <v>140254.92000000001</v>
      </c>
      <c r="N94" s="18">
        <v>93322.44</v>
      </c>
      <c r="O94" s="19">
        <v>46932.480000000003</v>
      </c>
    </row>
    <row r="95" spans="1:15" x14ac:dyDescent="0.3">
      <c r="A95" s="20" t="s">
        <v>170</v>
      </c>
      <c r="B95" s="21">
        <v>45698</v>
      </c>
      <c r="C95" s="22" t="s">
        <v>45</v>
      </c>
      <c r="D95" s="22" t="s">
        <v>17</v>
      </c>
      <c r="E95" s="22" t="s">
        <v>18</v>
      </c>
      <c r="F95" s="22" t="s">
        <v>19</v>
      </c>
      <c r="G95" s="22" t="s">
        <v>85</v>
      </c>
      <c r="H95" s="22" t="s">
        <v>21</v>
      </c>
      <c r="I95" s="22" t="s">
        <v>22</v>
      </c>
      <c r="J95" s="22" t="s">
        <v>68</v>
      </c>
      <c r="K95" s="23">
        <v>12</v>
      </c>
      <c r="L95" s="24">
        <v>2500.36</v>
      </c>
      <c r="M95" s="24">
        <v>30004.32</v>
      </c>
      <c r="N95" s="24">
        <v>17661.240000000002</v>
      </c>
      <c r="O95" s="25">
        <v>12343.08</v>
      </c>
    </row>
    <row r="96" spans="1:15" x14ac:dyDescent="0.3">
      <c r="A96" s="14" t="s">
        <v>171</v>
      </c>
      <c r="B96" s="15">
        <v>45851</v>
      </c>
      <c r="C96" s="16" t="s">
        <v>100</v>
      </c>
      <c r="D96" s="16" t="s">
        <v>39</v>
      </c>
      <c r="E96" s="16" t="s">
        <v>40</v>
      </c>
      <c r="F96" s="16" t="s">
        <v>41</v>
      </c>
      <c r="G96" s="16" t="s">
        <v>52</v>
      </c>
      <c r="H96" s="16" t="s">
        <v>21</v>
      </c>
      <c r="I96" s="16" t="s">
        <v>31</v>
      </c>
      <c r="J96" s="16" t="s">
        <v>32</v>
      </c>
      <c r="K96" s="17">
        <v>2</v>
      </c>
      <c r="L96" s="18">
        <v>50542.49</v>
      </c>
      <c r="M96" s="18">
        <v>101084.98</v>
      </c>
      <c r="N96" s="18">
        <v>80782.02</v>
      </c>
      <c r="O96" s="19">
        <v>20302.96</v>
      </c>
    </row>
    <row r="97" spans="1:15" x14ac:dyDescent="0.3">
      <c r="A97" s="20" t="s">
        <v>172</v>
      </c>
      <c r="B97" s="21">
        <v>45721</v>
      </c>
      <c r="C97" s="22" t="s">
        <v>38</v>
      </c>
      <c r="D97" s="22" t="s">
        <v>17</v>
      </c>
      <c r="E97" s="22" t="s">
        <v>18</v>
      </c>
      <c r="F97" s="22" t="s">
        <v>19</v>
      </c>
      <c r="G97" s="22" t="s">
        <v>63</v>
      </c>
      <c r="H97" s="22" t="s">
        <v>30</v>
      </c>
      <c r="I97" s="22" t="s">
        <v>53</v>
      </c>
      <c r="J97" s="22" t="s">
        <v>61</v>
      </c>
      <c r="K97" s="23">
        <v>1</v>
      </c>
      <c r="L97" s="24">
        <v>6732.63</v>
      </c>
      <c r="M97" s="24">
        <v>6732.63</v>
      </c>
      <c r="N97" s="24">
        <v>4072.2</v>
      </c>
      <c r="O97" s="25">
        <v>2660.43</v>
      </c>
    </row>
    <row r="98" spans="1:15" x14ac:dyDescent="0.3">
      <c r="A98" s="14" t="s">
        <v>173</v>
      </c>
      <c r="B98" s="15">
        <v>45935</v>
      </c>
      <c r="C98" s="16" t="s">
        <v>34</v>
      </c>
      <c r="D98" s="16" t="s">
        <v>49</v>
      </c>
      <c r="E98" s="16" t="s">
        <v>83</v>
      </c>
      <c r="F98" s="16" t="s">
        <v>84</v>
      </c>
      <c r="G98" s="16" t="s">
        <v>63</v>
      </c>
      <c r="H98" s="16" t="s">
        <v>30</v>
      </c>
      <c r="I98" s="16" t="s">
        <v>22</v>
      </c>
      <c r="J98" s="16" t="s">
        <v>36</v>
      </c>
      <c r="K98" s="17">
        <v>1</v>
      </c>
      <c r="L98" s="18">
        <v>922.27</v>
      </c>
      <c r="M98" s="18">
        <v>922.27</v>
      </c>
      <c r="N98" s="18">
        <v>487.4</v>
      </c>
      <c r="O98" s="19">
        <v>434.87</v>
      </c>
    </row>
    <row r="99" spans="1:15" x14ac:dyDescent="0.3">
      <c r="A99" s="20" t="s">
        <v>174</v>
      </c>
      <c r="B99" s="21">
        <v>45978</v>
      </c>
      <c r="C99" s="22" t="s">
        <v>89</v>
      </c>
      <c r="D99" s="22" t="s">
        <v>49</v>
      </c>
      <c r="E99" s="22" t="s">
        <v>83</v>
      </c>
      <c r="F99" s="22" t="s">
        <v>84</v>
      </c>
      <c r="G99" s="22" t="s">
        <v>29</v>
      </c>
      <c r="H99" s="22" t="s">
        <v>21</v>
      </c>
      <c r="I99" s="22" t="s">
        <v>53</v>
      </c>
      <c r="J99" s="22" t="s">
        <v>61</v>
      </c>
      <c r="K99" s="23">
        <v>1</v>
      </c>
      <c r="L99" s="24">
        <v>6295.59</v>
      </c>
      <c r="M99" s="24">
        <v>6295.59</v>
      </c>
      <c r="N99" s="24">
        <v>4303.8599999999997</v>
      </c>
      <c r="O99" s="25">
        <v>1991.73</v>
      </c>
    </row>
    <row r="100" spans="1:15" x14ac:dyDescent="0.3">
      <c r="A100" s="14" t="s">
        <v>175</v>
      </c>
      <c r="B100" s="15">
        <v>45968</v>
      </c>
      <c r="C100" s="16" t="s">
        <v>89</v>
      </c>
      <c r="D100" s="16" t="s">
        <v>39</v>
      </c>
      <c r="E100" s="16" t="s">
        <v>40</v>
      </c>
      <c r="F100" s="16" t="s">
        <v>41</v>
      </c>
      <c r="G100" s="16" t="s">
        <v>59</v>
      </c>
      <c r="H100" s="16" t="s">
        <v>30</v>
      </c>
      <c r="I100" s="16" t="s">
        <v>22</v>
      </c>
      <c r="J100" s="16" t="s">
        <v>23</v>
      </c>
      <c r="K100" s="17">
        <v>5</v>
      </c>
      <c r="L100" s="18">
        <v>1250.3599999999999</v>
      </c>
      <c r="M100" s="18">
        <v>6251.8</v>
      </c>
      <c r="N100" s="18">
        <v>3566.35</v>
      </c>
      <c r="O100" s="19">
        <v>2685.45</v>
      </c>
    </row>
    <row r="101" spans="1:15" x14ac:dyDescent="0.3">
      <c r="A101" s="20" t="s">
        <v>176</v>
      </c>
      <c r="B101" s="21">
        <v>45799</v>
      </c>
      <c r="C101" s="22" t="s">
        <v>56</v>
      </c>
      <c r="D101" s="22" t="s">
        <v>39</v>
      </c>
      <c r="E101" s="22" t="s">
        <v>80</v>
      </c>
      <c r="F101" s="22" t="s">
        <v>81</v>
      </c>
      <c r="G101" s="22" t="s">
        <v>46</v>
      </c>
      <c r="H101" s="22" t="s">
        <v>21</v>
      </c>
      <c r="I101" s="22" t="s">
        <v>31</v>
      </c>
      <c r="J101" s="22" t="s">
        <v>32</v>
      </c>
      <c r="K101" s="23">
        <v>8</v>
      </c>
      <c r="L101" s="24">
        <v>53941.46</v>
      </c>
      <c r="M101" s="24">
        <v>431531.68</v>
      </c>
      <c r="N101" s="24">
        <v>326876.40000000002</v>
      </c>
      <c r="O101" s="25">
        <v>104655.28</v>
      </c>
    </row>
    <row r="102" spans="1:15" x14ac:dyDescent="0.3">
      <c r="A102" s="14" t="s">
        <v>177</v>
      </c>
      <c r="B102" s="15">
        <v>45855</v>
      </c>
      <c r="C102" s="16" t="s">
        <v>100</v>
      </c>
      <c r="D102" s="16" t="s">
        <v>39</v>
      </c>
      <c r="E102" s="16" t="s">
        <v>40</v>
      </c>
      <c r="F102" s="16" t="s">
        <v>41</v>
      </c>
      <c r="G102" s="16" t="s">
        <v>52</v>
      </c>
      <c r="H102" s="16" t="s">
        <v>21</v>
      </c>
      <c r="I102" s="16" t="s">
        <v>53</v>
      </c>
      <c r="J102" s="16" t="s">
        <v>61</v>
      </c>
      <c r="K102" s="17">
        <v>1</v>
      </c>
      <c r="L102" s="18">
        <v>6827.5</v>
      </c>
      <c r="M102" s="18">
        <v>6827.5</v>
      </c>
      <c r="N102" s="18">
        <v>4300.16</v>
      </c>
      <c r="O102" s="19">
        <v>2527.34</v>
      </c>
    </row>
    <row r="103" spans="1:15" x14ac:dyDescent="0.3">
      <c r="A103" s="20" t="s">
        <v>178</v>
      </c>
      <c r="B103" s="21">
        <v>46012</v>
      </c>
      <c r="C103" s="22" t="s">
        <v>48</v>
      </c>
      <c r="D103" s="22" t="s">
        <v>17</v>
      </c>
      <c r="E103" s="22" t="s">
        <v>92</v>
      </c>
      <c r="F103" s="22" t="s">
        <v>93</v>
      </c>
      <c r="G103" s="22" t="s">
        <v>85</v>
      </c>
      <c r="H103" s="22" t="s">
        <v>30</v>
      </c>
      <c r="I103" s="22" t="s">
        <v>53</v>
      </c>
      <c r="J103" s="22" t="s">
        <v>54</v>
      </c>
      <c r="K103" s="23">
        <v>6</v>
      </c>
      <c r="L103" s="24">
        <v>11523.32</v>
      </c>
      <c r="M103" s="24">
        <v>69139.92</v>
      </c>
      <c r="N103" s="24">
        <v>46036.44</v>
      </c>
      <c r="O103" s="25">
        <v>23103.48</v>
      </c>
    </row>
    <row r="104" spans="1:15" x14ac:dyDescent="0.3">
      <c r="A104" s="14" t="s">
        <v>179</v>
      </c>
      <c r="B104" s="15">
        <v>45920</v>
      </c>
      <c r="C104" s="16" t="s">
        <v>74</v>
      </c>
      <c r="D104" s="16" t="s">
        <v>17</v>
      </c>
      <c r="E104" s="16" t="s">
        <v>18</v>
      </c>
      <c r="F104" s="16" t="s">
        <v>19</v>
      </c>
      <c r="G104" s="16" t="s">
        <v>42</v>
      </c>
      <c r="H104" s="16" t="s">
        <v>21</v>
      </c>
      <c r="I104" s="16" t="s">
        <v>53</v>
      </c>
      <c r="J104" s="16" t="s">
        <v>61</v>
      </c>
      <c r="K104" s="17">
        <v>11</v>
      </c>
      <c r="L104" s="18">
        <v>6078.02</v>
      </c>
      <c r="M104" s="18">
        <v>66858.22</v>
      </c>
      <c r="N104" s="18">
        <v>46442.99</v>
      </c>
      <c r="O104" s="19">
        <v>20415.23</v>
      </c>
    </row>
    <row r="105" spans="1:15" x14ac:dyDescent="0.3">
      <c r="A105" s="20" t="s">
        <v>180</v>
      </c>
      <c r="B105" s="21">
        <v>45824</v>
      </c>
      <c r="C105" s="22" t="s">
        <v>16</v>
      </c>
      <c r="D105" s="22" t="s">
        <v>17</v>
      </c>
      <c r="E105" s="22" t="s">
        <v>18</v>
      </c>
      <c r="F105" s="22" t="s">
        <v>19</v>
      </c>
      <c r="G105" s="22" t="s">
        <v>46</v>
      </c>
      <c r="H105" s="22" t="s">
        <v>21</v>
      </c>
      <c r="I105" s="22" t="s">
        <v>53</v>
      </c>
      <c r="J105" s="22" t="s">
        <v>64</v>
      </c>
      <c r="K105" s="23">
        <v>2</v>
      </c>
      <c r="L105" s="24">
        <v>8651.26</v>
      </c>
      <c r="M105" s="24">
        <v>17302.52</v>
      </c>
      <c r="N105" s="24">
        <v>12302.12</v>
      </c>
      <c r="O105" s="25">
        <v>5000.3999999999996</v>
      </c>
    </row>
    <row r="106" spans="1:15" x14ac:dyDescent="0.3">
      <c r="A106" s="14" t="s">
        <v>181</v>
      </c>
      <c r="B106" s="15">
        <v>46021</v>
      </c>
      <c r="C106" s="16" t="s">
        <v>48</v>
      </c>
      <c r="D106" s="16" t="s">
        <v>49</v>
      </c>
      <c r="E106" s="16" t="s">
        <v>83</v>
      </c>
      <c r="F106" s="16" t="s">
        <v>84</v>
      </c>
      <c r="G106" s="16" t="s">
        <v>85</v>
      </c>
      <c r="H106" s="16" t="s">
        <v>21</v>
      </c>
      <c r="I106" s="16" t="s">
        <v>53</v>
      </c>
      <c r="J106" s="16" t="s">
        <v>54</v>
      </c>
      <c r="K106" s="17">
        <v>10</v>
      </c>
      <c r="L106" s="18">
        <v>11700.58</v>
      </c>
      <c r="M106" s="18">
        <v>117005.8</v>
      </c>
      <c r="N106" s="18">
        <v>73985.5</v>
      </c>
      <c r="O106" s="19">
        <v>43020.3</v>
      </c>
    </row>
    <row r="107" spans="1:15" x14ac:dyDescent="0.3">
      <c r="A107" s="20" t="s">
        <v>182</v>
      </c>
      <c r="B107" s="21">
        <v>45933</v>
      </c>
      <c r="C107" s="22" t="s">
        <v>34</v>
      </c>
      <c r="D107" s="22" t="s">
        <v>26</v>
      </c>
      <c r="E107" s="22" t="s">
        <v>27</v>
      </c>
      <c r="F107" s="22" t="s">
        <v>121</v>
      </c>
      <c r="G107" s="22" t="s">
        <v>59</v>
      </c>
      <c r="H107" s="22" t="s">
        <v>30</v>
      </c>
      <c r="I107" s="22" t="s">
        <v>22</v>
      </c>
      <c r="J107" s="22" t="s">
        <v>36</v>
      </c>
      <c r="K107" s="23">
        <v>6</v>
      </c>
      <c r="L107" s="24">
        <v>871.3</v>
      </c>
      <c r="M107" s="24">
        <v>5227.8</v>
      </c>
      <c r="N107" s="24">
        <v>2928.12</v>
      </c>
      <c r="O107" s="25">
        <v>2299.6799999999998</v>
      </c>
    </row>
    <row r="108" spans="1:15" x14ac:dyDescent="0.3">
      <c r="A108" s="14" t="s">
        <v>183</v>
      </c>
      <c r="B108" s="15">
        <v>45882</v>
      </c>
      <c r="C108" s="16" t="s">
        <v>70</v>
      </c>
      <c r="D108" s="16" t="s">
        <v>17</v>
      </c>
      <c r="E108" s="16" t="s">
        <v>116</v>
      </c>
      <c r="F108" s="16" t="s">
        <v>117</v>
      </c>
      <c r="G108" s="16" t="s">
        <v>85</v>
      </c>
      <c r="H108" s="16" t="s">
        <v>21</v>
      </c>
      <c r="I108" s="16" t="s">
        <v>31</v>
      </c>
      <c r="J108" s="16" t="s">
        <v>86</v>
      </c>
      <c r="K108" s="17">
        <v>10</v>
      </c>
      <c r="L108" s="18">
        <v>17248.28</v>
      </c>
      <c r="M108" s="18">
        <v>172482.8</v>
      </c>
      <c r="N108" s="18">
        <v>124342.5</v>
      </c>
      <c r="O108" s="19">
        <v>48140.3</v>
      </c>
    </row>
    <row r="109" spans="1:15" x14ac:dyDescent="0.3">
      <c r="A109" s="20" t="s">
        <v>184</v>
      </c>
      <c r="B109" s="21">
        <v>45786</v>
      </c>
      <c r="C109" s="22" t="s">
        <v>56</v>
      </c>
      <c r="D109" s="22" t="s">
        <v>17</v>
      </c>
      <c r="E109" s="22" t="s">
        <v>92</v>
      </c>
      <c r="F109" s="22" t="s">
        <v>93</v>
      </c>
      <c r="G109" s="22" t="s">
        <v>85</v>
      </c>
      <c r="H109" s="22" t="s">
        <v>35</v>
      </c>
      <c r="I109" s="22" t="s">
        <v>31</v>
      </c>
      <c r="J109" s="22" t="s">
        <v>43</v>
      </c>
      <c r="K109" s="23">
        <v>8</v>
      </c>
      <c r="L109" s="24">
        <v>12943.72</v>
      </c>
      <c r="M109" s="24">
        <v>103549.75999999999</v>
      </c>
      <c r="N109" s="24">
        <v>61454.96</v>
      </c>
      <c r="O109" s="25">
        <v>42094.8</v>
      </c>
    </row>
    <row r="110" spans="1:15" x14ac:dyDescent="0.3">
      <c r="A110" s="14" t="s">
        <v>185</v>
      </c>
      <c r="B110" s="15">
        <v>45901</v>
      </c>
      <c r="C110" s="16" t="s">
        <v>74</v>
      </c>
      <c r="D110" s="16" t="s">
        <v>17</v>
      </c>
      <c r="E110" s="16" t="s">
        <v>18</v>
      </c>
      <c r="F110" s="16" t="s">
        <v>19</v>
      </c>
      <c r="G110" s="16" t="s">
        <v>63</v>
      </c>
      <c r="H110" s="16" t="s">
        <v>21</v>
      </c>
      <c r="I110" s="16" t="s">
        <v>53</v>
      </c>
      <c r="J110" s="16" t="s">
        <v>61</v>
      </c>
      <c r="K110" s="17">
        <v>2</v>
      </c>
      <c r="L110" s="18">
        <v>6094.13</v>
      </c>
      <c r="M110" s="18">
        <v>12188.26</v>
      </c>
      <c r="N110" s="18">
        <v>8484.42</v>
      </c>
      <c r="O110" s="19">
        <v>3703.84</v>
      </c>
    </row>
    <row r="111" spans="1:15" x14ac:dyDescent="0.3">
      <c r="A111" s="20" t="s">
        <v>186</v>
      </c>
      <c r="B111" s="21">
        <v>45956</v>
      </c>
      <c r="C111" s="22" t="s">
        <v>34</v>
      </c>
      <c r="D111" s="22" t="s">
        <v>17</v>
      </c>
      <c r="E111" s="22" t="s">
        <v>116</v>
      </c>
      <c r="F111" s="22" t="s">
        <v>117</v>
      </c>
      <c r="G111" s="22" t="s">
        <v>63</v>
      </c>
      <c r="H111" s="22" t="s">
        <v>35</v>
      </c>
      <c r="I111" s="22" t="s">
        <v>31</v>
      </c>
      <c r="J111" s="22" t="s">
        <v>86</v>
      </c>
      <c r="K111" s="23">
        <v>10</v>
      </c>
      <c r="L111" s="24">
        <v>17441.86</v>
      </c>
      <c r="M111" s="24">
        <v>174418.6</v>
      </c>
      <c r="N111" s="24">
        <v>133611.1</v>
      </c>
      <c r="O111" s="25">
        <v>40807.5</v>
      </c>
    </row>
    <row r="112" spans="1:15" x14ac:dyDescent="0.3">
      <c r="A112" s="14" t="s">
        <v>187</v>
      </c>
      <c r="B112" s="15">
        <v>45661</v>
      </c>
      <c r="C112" s="16" t="s">
        <v>78</v>
      </c>
      <c r="D112" s="16" t="s">
        <v>26</v>
      </c>
      <c r="E112" s="16" t="s">
        <v>57</v>
      </c>
      <c r="F112" s="16" t="s">
        <v>58</v>
      </c>
      <c r="G112" s="16" t="s">
        <v>63</v>
      </c>
      <c r="H112" s="16" t="s">
        <v>21</v>
      </c>
      <c r="I112" s="16" t="s">
        <v>31</v>
      </c>
      <c r="J112" s="16" t="s">
        <v>86</v>
      </c>
      <c r="K112" s="17">
        <v>6</v>
      </c>
      <c r="L112" s="18">
        <v>17121.7</v>
      </c>
      <c r="M112" s="18">
        <v>102730.2</v>
      </c>
      <c r="N112" s="18">
        <v>75691.02</v>
      </c>
      <c r="O112" s="19">
        <v>27039.18</v>
      </c>
    </row>
    <row r="113" spans="1:15" x14ac:dyDescent="0.3">
      <c r="A113" s="20" t="s">
        <v>188</v>
      </c>
      <c r="B113" s="21">
        <v>45788</v>
      </c>
      <c r="C113" s="22" t="s">
        <v>56</v>
      </c>
      <c r="D113" s="22" t="s">
        <v>26</v>
      </c>
      <c r="E113" s="22" t="s">
        <v>57</v>
      </c>
      <c r="F113" s="22" t="s">
        <v>58</v>
      </c>
      <c r="G113" s="22" t="s">
        <v>85</v>
      </c>
      <c r="H113" s="22" t="s">
        <v>21</v>
      </c>
      <c r="I113" s="22" t="s">
        <v>53</v>
      </c>
      <c r="J113" s="22" t="s">
        <v>54</v>
      </c>
      <c r="K113" s="23">
        <v>11</v>
      </c>
      <c r="L113" s="24">
        <v>10843.49</v>
      </c>
      <c r="M113" s="24">
        <v>119278.39</v>
      </c>
      <c r="N113" s="24">
        <v>84611.67</v>
      </c>
      <c r="O113" s="25">
        <v>34666.720000000001</v>
      </c>
    </row>
    <row r="114" spans="1:15" x14ac:dyDescent="0.3">
      <c r="A114" s="14" t="s">
        <v>189</v>
      </c>
      <c r="B114" s="15">
        <v>45697</v>
      </c>
      <c r="C114" s="16" t="s">
        <v>45</v>
      </c>
      <c r="D114" s="16" t="s">
        <v>17</v>
      </c>
      <c r="E114" s="16" t="s">
        <v>116</v>
      </c>
      <c r="F114" s="16" t="s">
        <v>117</v>
      </c>
      <c r="G114" s="16" t="s">
        <v>52</v>
      </c>
      <c r="H114" s="16" t="s">
        <v>35</v>
      </c>
      <c r="I114" s="16" t="s">
        <v>53</v>
      </c>
      <c r="J114" s="16" t="s">
        <v>61</v>
      </c>
      <c r="K114" s="17">
        <v>7</v>
      </c>
      <c r="L114" s="18">
        <v>6143.85</v>
      </c>
      <c r="M114" s="18">
        <v>43006.95</v>
      </c>
      <c r="N114" s="18">
        <v>29092.14</v>
      </c>
      <c r="O114" s="19">
        <v>13914.81</v>
      </c>
    </row>
    <row r="115" spans="1:15" x14ac:dyDescent="0.3">
      <c r="A115" s="20" t="s">
        <v>190</v>
      </c>
      <c r="B115" s="21">
        <v>45939</v>
      </c>
      <c r="C115" s="22" t="s">
        <v>34</v>
      </c>
      <c r="D115" s="22" t="s">
        <v>17</v>
      </c>
      <c r="E115" s="22" t="s">
        <v>92</v>
      </c>
      <c r="F115" s="22" t="s">
        <v>93</v>
      </c>
      <c r="G115" s="22" t="s">
        <v>46</v>
      </c>
      <c r="H115" s="22" t="s">
        <v>35</v>
      </c>
      <c r="I115" s="22" t="s">
        <v>31</v>
      </c>
      <c r="J115" s="22" t="s">
        <v>86</v>
      </c>
      <c r="K115" s="23">
        <v>12</v>
      </c>
      <c r="L115" s="24">
        <v>17472.150000000001</v>
      </c>
      <c r="M115" s="24">
        <v>209665.8</v>
      </c>
      <c r="N115" s="24">
        <v>163616.51999999999</v>
      </c>
      <c r="O115" s="25">
        <v>46049.279999999999</v>
      </c>
    </row>
    <row r="116" spans="1:15" x14ac:dyDescent="0.3">
      <c r="A116" s="14" t="s">
        <v>191</v>
      </c>
      <c r="B116" s="15">
        <v>45999</v>
      </c>
      <c r="C116" s="16" t="s">
        <v>48</v>
      </c>
      <c r="D116" s="16" t="s">
        <v>39</v>
      </c>
      <c r="E116" s="16" t="s">
        <v>40</v>
      </c>
      <c r="F116" s="16" t="s">
        <v>41</v>
      </c>
      <c r="G116" s="16" t="s">
        <v>20</v>
      </c>
      <c r="H116" s="16" t="s">
        <v>30</v>
      </c>
      <c r="I116" s="16" t="s">
        <v>22</v>
      </c>
      <c r="J116" s="16" t="s">
        <v>68</v>
      </c>
      <c r="K116" s="17">
        <v>6</v>
      </c>
      <c r="L116" s="18">
        <v>2480.2800000000002</v>
      </c>
      <c r="M116" s="18">
        <v>14881.68</v>
      </c>
      <c r="N116" s="18">
        <v>8566.3799999999992</v>
      </c>
      <c r="O116" s="19">
        <v>6315.3</v>
      </c>
    </row>
    <row r="117" spans="1:15" x14ac:dyDescent="0.3">
      <c r="A117" s="20" t="s">
        <v>192</v>
      </c>
      <c r="B117" s="21">
        <v>45844</v>
      </c>
      <c r="C117" s="22" t="s">
        <v>100</v>
      </c>
      <c r="D117" s="22" t="s">
        <v>17</v>
      </c>
      <c r="E117" s="22" t="s">
        <v>18</v>
      </c>
      <c r="F117" s="22" t="s">
        <v>19</v>
      </c>
      <c r="G117" s="22" t="s">
        <v>29</v>
      </c>
      <c r="H117" s="22" t="s">
        <v>21</v>
      </c>
      <c r="I117" s="22" t="s">
        <v>31</v>
      </c>
      <c r="J117" s="22" t="s">
        <v>86</v>
      </c>
      <c r="K117" s="23">
        <v>3</v>
      </c>
      <c r="L117" s="24">
        <v>17884.14</v>
      </c>
      <c r="M117" s="24">
        <v>53652.42</v>
      </c>
      <c r="N117" s="24">
        <v>40249.440000000002</v>
      </c>
      <c r="O117" s="25">
        <v>13402.98</v>
      </c>
    </row>
    <row r="118" spans="1:15" x14ac:dyDescent="0.3">
      <c r="A118" s="14" t="s">
        <v>193</v>
      </c>
      <c r="B118" s="15">
        <v>45865</v>
      </c>
      <c r="C118" s="16" t="s">
        <v>100</v>
      </c>
      <c r="D118" s="16" t="s">
        <v>39</v>
      </c>
      <c r="E118" s="16" t="s">
        <v>40</v>
      </c>
      <c r="F118" s="16" t="s">
        <v>41</v>
      </c>
      <c r="G118" s="16" t="s">
        <v>42</v>
      </c>
      <c r="H118" s="16" t="s">
        <v>21</v>
      </c>
      <c r="I118" s="16" t="s">
        <v>31</v>
      </c>
      <c r="J118" s="16" t="s">
        <v>32</v>
      </c>
      <c r="K118" s="17">
        <v>9</v>
      </c>
      <c r="L118" s="18">
        <v>49471.48</v>
      </c>
      <c r="M118" s="18">
        <v>445243.32</v>
      </c>
      <c r="N118" s="18">
        <v>380308.68</v>
      </c>
      <c r="O118" s="19">
        <v>64934.64</v>
      </c>
    </row>
    <row r="119" spans="1:15" x14ac:dyDescent="0.3">
      <c r="A119" s="20" t="s">
        <v>194</v>
      </c>
      <c r="B119" s="21">
        <v>45861</v>
      </c>
      <c r="C119" s="22" t="s">
        <v>100</v>
      </c>
      <c r="D119" s="22" t="s">
        <v>26</v>
      </c>
      <c r="E119" s="22" t="s">
        <v>57</v>
      </c>
      <c r="F119" s="22" t="s">
        <v>58</v>
      </c>
      <c r="G119" s="22" t="s">
        <v>63</v>
      </c>
      <c r="H119" s="22" t="s">
        <v>35</v>
      </c>
      <c r="I119" s="22" t="s">
        <v>22</v>
      </c>
      <c r="J119" s="22" t="s">
        <v>23</v>
      </c>
      <c r="K119" s="23">
        <v>3</v>
      </c>
      <c r="L119" s="24">
        <v>1178.6300000000001</v>
      </c>
      <c r="M119" s="24">
        <v>3535.89</v>
      </c>
      <c r="N119" s="24">
        <v>2028.99</v>
      </c>
      <c r="O119" s="25">
        <v>1506.9</v>
      </c>
    </row>
    <row r="120" spans="1:15" x14ac:dyDescent="0.3">
      <c r="A120" s="14" t="s">
        <v>195</v>
      </c>
      <c r="B120" s="15">
        <v>45745</v>
      </c>
      <c r="C120" s="16" t="s">
        <v>38</v>
      </c>
      <c r="D120" s="16" t="s">
        <v>26</v>
      </c>
      <c r="E120" s="16" t="s">
        <v>27</v>
      </c>
      <c r="F120" s="16" t="s">
        <v>28</v>
      </c>
      <c r="G120" s="16" t="s">
        <v>29</v>
      </c>
      <c r="H120" s="16" t="s">
        <v>30</v>
      </c>
      <c r="I120" s="16" t="s">
        <v>31</v>
      </c>
      <c r="J120" s="16" t="s">
        <v>86</v>
      </c>
      <c r="K120" s="17">
        <v>3</v>
      </c>
      <c r="L120" s="18">
        <v>19000.689999999999</v>
      </c>
      <c r="M120" s="18">
        <v>57002.07</v>
      </c>
      <c r="N120" s="18">
        <v>37219.65</v>
      </c>
      <c r="O120" s="19">
        <v>19782.419999999998</v>
      </c>
    </row>
    <row r="121" spans="1:15" x14ac:dyDescent="0.3">
      <c r="A121" s="20" t="s">
        <v>196</v>
      </c>
      <c r="B121" s="21">
        <v>45905</v>
      </c>
      <c r="C121" s="22" t="s">
        <v>74</v>
      </c>
      <c r="D121" s="22" t="s">
        <v>39</v>
      </c>
      <c r="E121" s="22" t="s">
        <v>80</v>
      </c>
      <c r="F121" s="22" t="s">
        <v>81</v>
      </c>
      <c r="G121" s="22" t="s">
        <v>29</v>
      </c>
      <c r="H121" s="22" t="s">
        <v>21</v>
      </c>
      <c r="I121" s="22" t="s">
        <v>22</v>
      </c>
      <c r="J121" s="22" t="s">
        <v>68</v>
      </c>
      <c r="K121" s="23">
        <v>12</v>
      </c>
      <c r="L121" s="24">
        <v>2634.21</v>
      </c>
      <c r="M121" s="24">
        <v>31610.52</v>
      </c>
      <c r="N121" s="24">
        <v>17388.48</v>
      </c>
      <c r="O121" s="25">
        <v>14222.04</v>
      </c>
    </row>
    <row r="122" spans="1:15" x14ac:dyDescent="0.3">
      <c r="A122" s="14" t="s">
        <v>197</v>
      </c>
      <c r="B122" s="15">
        <v>45771</v>
      </c>
      <c r="C122" s="16" t="s">
        <v>25</v>
      </c>
      <c r="D122" s="16" t="s">
        <v>49</v>
      </c>
      <c r="E122" s="16" t="s">
        <v>66</v>
      </c>
      <c r="F122" s="16" t="s">
        <v>67</v>
      </c>
      <c r="G122" s="16" t="s">
        <v>85</v>
      </c>
      <c r="H122" s="16" t="s">
        <v>30</v>
      </c>
      <c r="I122" s="16" t="s">
        <v>31</v>
      </c>
      <c r="J122" s="16" t="s">
        <v>43</v>
      </c>
      <c r="K122" s="17">
        <v>4</v>
      </c>
      <c r="L122" s="18">
        <v>11235.08</v>
      </c>
      <c r="M122" s="18">
        <v>44940.32</v>
      </c>
      <c r="N122" s="18">
        <v>33403.360000000001</v>
      </c>
      <c r="O122" s="19">
        <v>11536.96</v>
      </c>
    </row>
    <row r="123" spans="1:15" x14ac:dyDescent="0.3">
      <c r="A123" s="20" t="s">
        <v>198</v>
      </c>
      <c r="B123" s="21">
        <v>45738</v>
      </c>
      <c r="C123" s="22" t="s">
        <v>38</v>
      </c>
      <c r="D123" s="22" t="s">
        <v>49</v>
      </c>
      <c r="E123" s="22" t="s">
        <v>50</v>
      </c>
      <c r="F123" s="22" t="s">
        <v>51</v>
      </c>
      <c r="G123" s="22" t="s">
        <v>46</v>
      </c>
      <c r="H123" s="22" t="s">
        <v>21</v>
      </c>
      <c r="I123" s="22" t="s">
        <v>31</v>
      </c>
      <c r="J123" s="22" t="s">
        <v>43</v>
      </c>
      <c r="K123" s="23">
        <v>4</v>
      </c>
      <c r="L123" s="24">
        <v>11233.98</v>
      </c>
      <c r="M123" s="24">
        <v>44935.92</v>
      </c>
      <c r="N123" s="24">
        <v>32199.48</v>
      </c>
      <c r="O123" s="25">
        <v>12736.44</v>
      </c>
    </row>
    <row r="124" spans="1:15" x14ac:dyDescent="0.3">
      <c r="A124" s="14" t="s">
        <v>199</v>
      </c>
      <c r="B124" s="15">
        <v>46002</v>
      </c>
      <c r="C124" s="16" t="s">
        <v>48</v>
      </c>
      <c r="D124" s="16" t="s">
        <v>26</v>
      </c>
      <c r="E124" s="16" t="s">
        <v>57</v>
      </c>
      <c r="F124" s="16" t="s">
        <v>58</v>
      </c>
      <c r="G124" s="16" t="s">
        <v>63</v>
      </c>
      <c r="H124" s="16" t="s">
        <v>21</v>
      </c>
      <c r="I124" s="16" t="s">
        <v>53</v>
      </c>
      <c r="J124" s="16" t="s">
        <v>64</v>
      </c>
      <c r="K124" s="17">
        <v>8</v>
      </c>
      <c r="L124" s="18">
        <v>9112.57</v>
      </c>
      <c r="M124" s="18">
        <v>72900.56</v>
      </c>
      <c r="N124" s="18">
        <v>50230.16</v>
      </c>
      <c r="O124" s="19">
        <v>22670.400000000001</v>
      </c>
    </row>
    <row r="125" spans="1:15" x14ac:dyDescent="0.3">
      <c r="A125" s="20" t="s">
        <v>200</v>
      </c>
      <c r="B125" s="21">
        <v>45814</v>
      </c>
      <c r="C125" s="22" t="s">
        <v>16</v>
      </c>
      <c r="D125" s="22" t="s">
        <v>49</v>
      </c>
      <c r="E125" s="22" t="s">
        <v>50</v>
      </c>
      <c r="F125" s="22" t="s">
        <v>51</v>
      </c>
      <c r="G125" s="22" t="s">
        <v>85</v>
      </c>
      <c r="H125" s="22" t="s">
        <v>30</v>
      </c>
      <c r="I125" s="22" t="s">
        <v>53</v>
      </c>
      <c r="J125" s="22" t="s">
        <v>64</v>
      </c>
      <c r="K125" s="23">
        <v>6</v>
      </c>
      <c r="L125" s="24">
        <v>8973.17</v>
      </c>
      <c r="M125" s="24">
        <v>53839.02</v>
      </c>
      <c r="N125" s="24">
        <v>36970.68</v>
      </c>
      <c r="O125" s="25">
        <v>16868.34</v>
      </c>
    </row>
    <row r="126" spans="1:15" x14ac:dyDescent="0.3">
      <c r="A126" s="14" t="s">
        <v>201</v>
      </c>
      <c r="B126" s="15">
        <v>45669</v>
      </c>
      <c r="C126" s="16" t="s">
        <v>78</v>
      </c>
      <c r="D126" s="16" t="s">
        <v>26</v>
      </c>
      <c r="E126" s="16" t="s">
        <v>57</v>
      </c>
      <c r="F126" s="16" t="s">
        <v>58</v>
      </c>
      <c r="G126" s="16" t="s">
        <v>52</v>
      </c>
      <c r="H126" s="16" t="s">
        <v>30</v>
      </c>
      <c r="I126" s="16" t="s">
        <v>31</v>
      </c>
      <c r="J126" s="16" t="s">
        <v>86</v>
      </c>
      <c r="K126" s="17">
        <v>10</v>
      </c>
      <c r="L126" s="18">
        <v>18845.93</v>
      </c>
      <c r="M126" s="18">
        <v>188459.3</v>
      </c>
      <c r="N126" s="18">
        <v>129457.8</v>
      </c>
      <c r="O126" s="19">
        <v>59001.5</v>
      </c>
    </row>
    <row r="127" spans="1:15" x14ac:dyDescent="0.3">
      <c r="A127" s="20" t="s">
        <v>202</v>
      </c>
      <c r="B127" s="21">
        <v>45749</v>
      </c>
      <c r="C127" s="22" t="s">
        <v>25</v>
      </c>
      <c r="D127" s="22" t="s">
        <v>49</v>
      </c>
      <c r="E127" s="22" t="s">
        <v>50</v>
      </c>
      <c r="F127" s="22" t="s">
        <v>51</v>
      </c>
      <c r="G127" s="22" t="s">
        <v>46</v>
      </c>
      <c r="H127" s="22" t="s">
        <v>21</v>
      </c>
      <c r="I127" s="22" t="s">
        <v>31</v>
      </c>
      <c r="J127" s="22" t="s">
        <v>86</v>
      </c>
      <c r="K127" s="23">
        <v>7</v>
      </c>
      <c r="L127" s="24">
        <v>17726.400000000001</v>
      </c>
      <c r="M127" s="24">
        <v>124084.8</v>
      </c>
      <c r="N127" s="24">
        <v>93750.79</v>
      </c>
      <c r="O127" s="25">
        <v>30334.01</v>
      </c>
    </row>
    <row r="128" spans="1:15" x14ac:dyDescent="0.3">
      <c r="A128" s="14" t="s">
        <v>203</v>
      </c>
      <c r="B128" s="15">
        <v>45916</v>
      </c>
      <c r="C128" s="16" t="s">
        <v>74</v>
      </c>
      <c r="D128" s="16" t="s">
        <v>26</v>
      </c>
      <c r="E128" s="16" t="s">
        <v>27</v>
      </c>
      <c r="F128" s="16" t="s">
        <v>28</v>
      </c>
      <c r="G128" s="16" t="s">
        <v>42</v>
      </c>
      <c r="H128" s="16" t="s">
        <v>21</v>
      </c>
      <c r="I128" s="16" t="s">
        <v>22</v>
      </c>
      <c r="J128" s="16" t="s">
        <v>36</v>
      </c>
      <c r="K128" s="17">
        <v>12</v>
      </c>
      <c r="L128" s="18">
        <v>906.05</v>
      </c>
      <c r="M128" s="18">
        <v>10872.6</v>
      </c>
      <c r="N128" s="18">
        <v>5732.52</v>
      </c>
      <c r="O128" s="19">
        <v>5140.08</v>
      </c>
    </row>
    <row r="129" spans="1:15" x14ac:dyDescent="0.3">
      <c r="A129" s="20" t="s">
        <v>204</v>
      </c>
      <c r="B129" s="21">
        <v>45916</v>
      </c>
      <c r="C129" s="22" t="s">
        <v>74</v>
      </c>
      <c r="D129" s="22" t="s">
        <v>49</v>
      </c>
      <c r="E129" s="22" t="s">
        <v>66</v>
      </c>
      <c r="F129" s="22" t="s">
        <v>67</v>
      </c>
      <c r="G129" s="22" t="s">
        <v>42</v>
      </c>
      <c r="H129" s="22" t="s">
        <v>21</v>
      </c>
      <c r="I129" s="22" t="s">
        <v>31</v>
      </c>
      <c r="J129" s="22" t="s">
        <v>43</v>
      </c>
      <c r="K129" s="23">
        <v>12</v>
      </c>
      <c r="L129" s="24">
        <v>12406.59</v>
      </c>
      <c r="M129" s="24">
        <v>148879.07999999999</v>
      </c>
      <c r="N129" s="24">
        <v>92252.04</v>
      </c>
      <c r="O129" s="25">
        <v>56627.040000000001</v>
      </c>
    </row>
    <row r="130" spans="1:15" x14ac:dyDescent="0.3">
      <c r="A130" s="14" t="s">
        <v>205</v>
      </c>
      <c r="B130" s="15">
        <v>45725</v>
      </c>
      <c r="C130" s="16" t="s">
        <v>38</v>
      </c>
      <c r="D130" s="16" t="s">
        <v>49</v>
      </c>
      <c r="E130" s="16" t="s">
        <v>50</v>
      </c>
      <c r="F130" s="16" t="s">
        <v>51</v>
      </c>
      <c r="G130" s="16" t="s">
        <v>42</v>
      </c>
      <c r="H130" s="16" t="s">
        <v>35</v>
      </c>
      <c r="I130" s="16" t="s">
        <v>22</v>
      </c>
      <c r="J130" s="16" t="s">
        <v>23</v>
      </c>
      <c r="K130" s="17">
        <v>2</v>
      </c>
      <c r="L130" s="18">
        <v>1265.95</v>
      </c>
      <c r="M130" s="18">
        <v>2531.9</v>
      </c>
      <c r="N130" s="18">
        <v>1415.46</v>
      </c>
      <c r="O130" s="19">
        <v>1116.44</v>
      </c>
    </row>
    <row r="131" spans="1:15" x14ac:dyDescent="0.3">
      <c r="A131" s="20" t="s">
        <v>206</v>
      </c>
      <c r="B131" s="21">
        <v>45787</v>
      </c>
      <c r="C131" s="22" t="s">
        <v>56</v>
      </c>
      <c r="D131" s="22" t="s">
        <v>17</v>
      </c>
      <c r="E131" s="22" t="s">
        <v>18</v>
      </c>
      <c r="F131" s="22" t="s">
        <v>19</v>
      </c>
      <c r="G131" s="22" t="s">
        <v>59</v>
      </c>
      <c r="H131" s="22" t="s">
        <v>30</v>
      </c>
      <c r="I131" s="22" t="s">
        <v>31</v>
      </c>
      <c r="J131" s="22" t="s">
        <v>86</v>
      </c>
      <c r="K131" s="23">
        <v>9</v>
      </c>
      <c r="L131" s="24">
        <v>19343.689999999999</v>
      </c>
      <c r="M131" s="24">
        <v>174093.21</v>
      </c>
      <c r="N131" s="24">
        <v>116767.26</v>
      </c>
      <c r="O131" s="25">
        <v>57325.95</v>
      </c>
    </row>
    <row r="132" spans="1:15" x14ac:dyDescent="0.3">
      <c r="A132" s="14" t="s">
        <v>207</v>
      </c>
      <c r="B132" s="15">
        <v>45961</v>
      </c>
      <c r="C132" s="16" t="s">
        <v>34</v>
      </c>
      <c r="D132" s="16" t="s">
        <v>39</v>
      </c>
      <c r="E132" s="16" t="s">
        <v>71</v>
      </c>
      <c r="F132" s="16" t="s">
        <v>72</v>
      </c>
      <c r="G132" s="16" t="s">
        <v>85</v>
      </c>
      <c r="H132" s="16" t="s">
        <v>30</v>
      </c>
      <c r="I132" s="16" t="s">
        <v>53</v>
      </c>
      <c r="J132" s="16" t="s">
        <v>61</v>
      </c>
      <c r="K132" s="17">
        <v>4</v>
      </c>
      <c r="L132" s="18">
        <v>6222.54</v>
      </c>
      <c r="M132" s="18">
        <v>24890.16</v>
      </c>
      <c r="N132" s="18">
        <v>16230.88</v>
      </c>
      <c r="O132" s="19">
        <v>8659.2800000000007</v>
      </c>
    </row>
    <row r="133" spans="1:15" x14ac:dyDescent="0.3">
      <c r="A133" s="20" t="s">
        <v>208</v>
      </c>
      <c r="B133" s="21">
        <v>45800</v>
      </c>
      <c r="C133" s="22" t="s">
        <v>56</v>
      </c>
      <c r="D133" s="22" t="s">
        <v>39</v>
      </c>
      <c r="E133" s="22" t="s">
        <v>40</v>
      </c>
      <c r="F133" s="22" t="s">
        <v>41</v>
      </c>
      <c r="G133" s="22" t="s">
        <v>42</v>
      </c>
      <c r="H133" s="22" t="s">
        <v>30</v>
      </c>
      <c r="I133" s="22" t="s">
        <v>31</v>
      </c>
      <c r="J133" s="22" t="s">
        <v>43</v>
      </c>
      <c r="K133" s="23">
        <v>1</v>
      </c>
      <c r="L133" s="24">
        <v>12305.37</v>
      </c>
      <c r="M133" s="24">
        <v>12305.37</v>
      </c>
      <c r="N133" s="24">
        <v>7887.82</v>
      </c>
      <c r="O133" s="25">
        <v>4417.55</v>
      </c>
    </row>
    <row r="134" spans="1:15" x14ac:dyDescent="0.3">
      <c r="A134" s="14" t="s">
        <v>209</v>
      </c>
      <c r="B134" s="15">
        <v>45889</v>
      </c>
      <c r="C134" s="16" t="s">
        <v>70</v>
      </c>
      <c r="D134" s="16" t="s">
        <v>26</v>
      </c>
      <c r="E134" s="16" t="s">
        <v>27</v>
      </c>
      <c r="F134" s="16" t="s">
        <v>121</v>
      </c>
      <c r="G134" s="16" t="s">
        <v>29</v>
      </c>
      <c r="H134" s="16" t="s">
        <v>35</v>
      </c>
      <c r="I134" s="16" t="s">
        <v>53</v>
      </c>
      <c r="J134" s="16" t="s">
        <v>54</v>
      </c>
      <c r="K134" s="17">
        <v>7</v>
      </c>
      <c r="L134" s="18">
        <v>11864.32</v>
      </c>
      <c r="M134" s="18">
        <v>83050.240000000005</v>
      </c>
      <c r="N134" s="18">
        <v>53611.53</v>
      </c>
      <c r="O134" s="19">
        <v>29438.71</v>
      </c>
    </row>
    <row r="135" spans="1:15" x14ac:dyDescent="0.3">
      <c r="A135" s="20" t="s">
        <v>210</v>
      </c>
      <c r="B135" s="21">
        <v>45842</v>
      </c>
      <c r="C135" s="22" t="s">
        <v>100</v>
      </c>
      <c r="D135" s="22" t="s">
        <v>39</v>
      </c>
      <c r="E135" s="22" t="s">
        <v>80</v>
      </c>
      <c r="F135" s="22" t="s">
        <v>81</v>
      </c>
      <c r="G135" s="22" t="s">
        <v>52</v>
      </c>
      <c r="H135" s="22" t="s">
        <v>21</v>
      </c>
      <c r="I135" s="22" t="s">
        <v>31</v>
      </c>
      <c r="J135" s="22" t="s">
        <v>43</v>
      </c>
      <c r="K135" s="23">
        <v>12</v>
      </c>
      <c r="L135" s="24">
        <v>12884.36</v>
      </c>
      <c r="M135" s="24">
        <v>154612.32</v>
      </c>
      <c r="N135" s="24">
        <v>94045.32</v>
      </c>
      <c r="O135" s="25">
        <v>60567</v>
      </c>
    </row>
    <row r="136" spans="1:15" x14ac:dyDescent="0.3">
      <c r="A136" s="14" t="s">
        <v>211</v>
      </c>
      <c r="B136" s="15">
        <v>45922</v>
      </c>
      <c r="C136" s="16" t="s">
        <v>74</v>
      </c>
      <c r="D136" s="16" t="s">
        <v>39</v>
      </c>
      <c r="E136" s="16" t="s">
        <v>40</v>
      </c>
      <c r="F136" s="16" t="s">
        <v>41</v>
      </c>
      <c r="G136" s="16" t="s">
        <v>63</v>
      </c>
      <c r="H136" s="16" t="s">
        <v>35</v>
      </c>
      <c r="I136" s="16" t="s">
        <v>31</v>
      </c>
      <c r="J136" s="16" t="s">
        <v>43</v>
      </c>
      <c r="K136" s="17">
        <v>1</v>
      </c>
      <c r="L136" s="18">
        <v>11558.95</v>
      </c>
      <c r="M136" s="18">
        <v>11558.95</v>
      </c>
      <c r="N136" s="18">
        <v>7832.78</v>
      </c>
      <c r="O136" s="19">
        <v>3726.17</v>
      </c>
    </row>
    <row r="137" spans="1:15" x14ac:dyDescent="0.3">
      <c r="A137" s="20" t="s">
        <v>212</v>
      </c>
      <c r="B137" s="21">
        <v>45978</v>
      </c>
      <c r="C137" s="22" t="s">
        <v>89</v>
      </c>
      <c r="D137" s="22" t="s">
        <v>49</v>
      </c>
      <c r="E137" s="22" t="s">
        <v>50</v>
      </c>
      <c r="F137" s="22" t="s">
        <v>51</v>
      </c>
      <c r="G137" s="22" t="s">
        <v>63</v>
      </c>
      <c r="H137" s="22" t="s">
        <v>21</v>
      </c>
      <c r="I137" s="22" t="s">
        <v>31</v>
      </c>
      <c r="J137" s="22" t="s">
        <v>86</v>
      </c>
      <c r="K137" s="23">
        <v>4</v>
      </c>
      <c r="L137" s="24">
        <v>18393.8</v>
      </c>
      <c r="M137" s="24">
        <v>73575.199999999997</v>
      </c>
      <c r="N137" s="24">
        <v>49637.04</v>
      </c>
      <c r="O137" s="25">
        <v>23938.16</v>
      </c>
    </row>
    <row r="138" spans="1:15" x14ac:dyDescent="0.3">
      <c r="A138" s="14" t="s">
        <v>213</v>
      </c>
      <c r="B138" s="15">
        <v>45685</v>
      </c>
      <c r="C138" s="16" t="s">
        <v>78</v>
      </c>
      <c r="D138" s="16" t="s">
        <v>26</v>
      </c>
      <c r="E138" s="16" t="s">
        <v>57</v>
      </c>
      <c r="F138" s="16" t="s">
        <v>58</v>
      </c>
      <c r="G138" s="16" t="s">
        <v>63</v>
      </c>
      <c r="H138" s="16" t="s">
        <v>30</v>
      </c>
      <c r="I138" s="16" t="s">
        <v>31</v>
      </c>
      <c r="J138" s="16" t="s">
        <v>43</v>
      </c>
      <c r="K138" s="17">
        <v>6</v>
      </c>
      <c r="L138" s="18">
        <v>12121.4</v>
      </c>
      <c r="M138" s="18">
        <v>72728.399999999994</v>
      </c>
      <c r="N138" s="18">
        <v>47583.54</v>
      </c>
      <c r="O138" s="19">
        <v>25144.86</v>
      </c>
    </row>
    <row r="139" spans="1:15" x14ac:dyDescent="0.3">
      <c r="A139" s="20" t="s">
        <v>214</v>
      </c>
      <c r="B139" s="21">
        <v>45812</v>
      </c>
      <c r="C139" s="22" t="s">
        <v>16</v>
      </c>
      <c r="D139" s="22" t="s">
        <v>17</v>
      </c>
      <c r="E139" s="22" t="s">
        <v>116</v>
      </c>
      <c r="F139" s="22" t="s">
        <v>117</v>
      </c>
      <c r="G139" s="22" t="s">
        <v>63</v>
      </c>
      <c r="H139" s="22" t="s">
        <v>35</v>
      </c>
      <c r="I139" s="22" t="s">
        <v>53</v>
      </c>
      <c r="J139" s="22" t="s">
        <v>61</v>
      </c>
      <c r="K139" s="23">
        <v>3</v>
      </c>
      <c r="L139" s="24">
        <v>6058.76</v>
      </c>
      <c r="M139" s="24">
        <v>18176.28</v>
      </c>
      <c r="N139" s="24">
        <v>12979.89</v>
      </c>
      <c r="O139" s="25">
        <v>5196.3900000000003</v>
      </c>
    </row>
    <row r="140" spans="1:15" x14ac:dyDescent="0.3">
      <c r="A140" s="14" t="s">
        <v>215</v>
      </c>
      <c r="B140" s="15">
        <v>46020</v>
      </c>
      <c r="C140" s="16" t="s">
        <v>48</v>
      </c>
      <c r="D140" s="16" t="s">
        <v>17</v>
      </c>
      <c r="E140" s="16" t="s">
        <v>18</v>
      </c>
      <c r="F140" s="16" t="s">
        <v>19</v>
      </c>
      <c r="G140" s="16" t="s">
        <v>46</v>
      </c>
      <c r="H140" s="16" t="s">
        <v>21</v>
      </c>
      <c r="I140" s="16" t="s">
        <v>22</v>
      </c>
      <c r="J140" s="16" t="s">
        <v>23</v>
      </c>
      <c r="K140" s="17">
        <v>11</v>
      </c>
      <c r="L140" s="18">
        <v>1256.79</v>
      </c>
      <c r="M140" s="18">
        <v>13824.69</v>
      </c>
      <c r="N140" s="18">
        <v>7624.54</v>
      </c>
      <c r="O140" s="19">
        <v>6200.15</v>
      </c>
    </row>
    <row r="141" spans="1:15" x14ac:dyDescent="0.3">
      <c r="A141" s="20" t="s">
        <v>216</v>
      </c>
      <c r="B141" s="21">
        <v>45793</v>
      </c>
      <c r="C141" s="22" t="s">
        <v>56</v>
      </c>
      <c r="D141" s="22" t="s">
        <v>26</v>
      </c>
      <c r="E141" s="22" t="s">
        <v>27</v>
      </c>
      <c r="F141" s="22" t="s">
        <v>28</v>
      </c>
      <c r="G141" s="22" t="s">
        <v>63</v>
      </c>
      <c r="H141" s="22" t="s">
        <v>35</v>
      </c>
      <c r="I141" s="22" t="s">
        <v>22</v>
      </c>
      <c r="J141" s="22" t="s">
        <v>68</v>
      </c>
      <c r="K141" s="23">
        <v>8</v>
      </c>
      <c r="L141" s="24">
        <v>2550.71</v>
      </c>
      <c r="M141" s="24">
        <v>20405.68</v>
      </c>
      <c r="N141" s="24">
        <v>12021.12</v>
      </c>
      <c r="O141" s="25">
        <v>8384.56</v>
      </c>
    </row>
    <row r="142" spans="1:15" x14ac:dyDescent="0.3">
      <c r="A142" s="14" t="s">
        <v>217</v>
      </c>
      <c r="B142" s="15">
        <v>45910</v>
      </c>
      <c r="C142" s="16" t="s">
        <v>74</v>
      </c>
      <c r="D142" s="16" t="s">
        <v>17</v>
      </c>
      <c r="E142" s="16" t="s">
        <v>116</v>
      </c>
      <c r="F142" s="16" t="s">
        <v>117</v>
      </c>
      <c r="G142" s="16" t="s">
        <v>20</v>
      </c>
      <c r="H142" s="16" t="s">
        <v>21</v>
      </c>
      <c r="I142" s="16" t="s">
        <v>31</v>
      </c>
      <c r="J142" s="16" t="s">
        <v>43</v>
      </c>
      <c r="K142" s="17">
        <v>1</v>
      </c>
      <c r="L142" s="18">
        <v>11890.78</v>
      </c>
      <c r="M142" s="18">
        <v>11890.78</v>
      </c>
      <c r="N142" s="18">
        <v>7790.14</v>
      </c>
      <c r="O142" s="19">
        <v>4100.6400000000003</v>
      </c>
    </row>
    <row r="143" spans="1:15" x14ac:dyDescent="0.3">
      <c r="A143" s="20" t="s">
        <v>218</v>
      </c>
      <c r="B143" s="21">
        <v>45687</v>
      </c>
      <c r="C143" s="22" t="s">
        <v>78</v>
      </c>
      <c r="D143" s="22" t="s">
        <v>26</v>
      </c>
      <c r="E143" s="22" t="s">
        <v>27</v>
      </c>
      <c r="F143" s="22" t="s">
        <v>28</v>
      </c>
      <c r="G143" s="22" t="s">
        <v>85</v>
      </c>
      <c r="H143" s="22" t="s">
        <v>21</v>
      </c>
      <c r="I143" s="22" t="s">
        <v>53</v>
      </c>
      <c r="J143" s="22" t="s">
        <v>61</v>
      </c>
      <c r="K143" s="23">
        <v>9</v>
      </c>
      <c r="L143" s="24">
        <v>6637.88</v>
      </c>
      <c r="M143" s="24">
        <v>59740.92</v>
      </c>
      <c r="N143" s="24">
        <v>37826.28</v>
      </c>
      <c r="O143" s="25">
        <v>21914.639999999999</v>
      </c>
    </row>
    <row r="144" spans="1:15" x14ac:dyDescent="0.3">
      <c r="A144" s="14" t="s">
        <v>219</v>
      </c>
      <c r="B144" s="15">
        <v>45986</v>
      </c>
      <c r="C144" s="16" t="s">
        <v>89</v>
      </c>
      <c r="D144" s="16" t="s">
        <v>49</v>
      </c>
      <c r="E144" s="16" t="s">
        <v>66</v>
      </c>
      <c r="F144" s="16" t="s">
        <v>67</v>
      </c>
      <c r="G144" s="16" t="s">
        <v>42</v>
      </c>
      <c r="H144" s="16" t="s">
        <v>35</v>
      </c>
      <c r="I144" s="16" t="s">
        <v>53</v>
      </c>
      <c r="J144" s="16" t="s">
        <v>61</v>
      </c>
      <c r="K144" s="17">
        <v>5</v>
      </c>
      <c r="L144" s="18">
        <v>6655.31</v>
      </c>
      <c r="M144" s="18">
        <v>33276.550000000003</v>
      </c>
      <c r="N144" s="18">
        <v>22037.55</v>
      </c>
      <c r="O144" s="19">
        <v>11239</v>
      </c>
    </row>
    <row r="145" spans="1:15" x14ac:dyDescent="0.3">
      <c r="A145" s="20" t="s">
        <v>220</v>
      </c>
      <c r="B145" s="21">
        <v>45902</v>
      </c>
      <c r="C145" s="22" t="s">
        <v>74</v>
      </c>
      <c r="D145" s="22" t="s">
        <v>26</v>
      </c>
      <c r="E145" s="22" t="s">
        <v>27</v>
      </c>
      <c r="F145" s="22" t="s">
        <v>121</v>
      </c>
      <c r="G145" s="22" t="s">
        <v>29</v>
      </c>
      <c r="H145" s="22" t="s">
        <v>35</v>
      </c>
      <c r="I145" s="22" t="s">
        <v>53</v>
      </c>
      <c r="J145" s="22" t="s">
        <v>61</v>
      </c>
      <c r="K145" s="23">
        <v>12</v>
      </c>
      <c r="L145" s="24">
        <v>6684.14</v>
      </c>
      <c r="M145" s="24">
        <v>80209.679999999993</v>
      </c>
      <c r="N145" s="24">
        <v>48763.92</v>
      </c>
      <c r="O145" s="25">
        <v>31445.759999999998</v>
      </c>
    </row>
    <row r="146" spans="1:15" x14ac:dyDescent="0.3">
      <c r="A146" s="14" t="s">
        <v>221</v>
      </c>
      <c r="B146" s="15">
        <v>45711</v>
      </c>
      <c r="C146" s="16" t="s">
        <v>45</v>
      </c>
      <c r="D146" s="16" t="s">
        <v>39</v>
      </c>
      <c r="E146" s="16" t="s">
        <v>80</v>
      </c>
      <c r="F146" s="16" t="s">
        <v>81</v>
      </c>
      <c r="G146" s="16" t="s">
        <v>20</v>
      </c>
      <c r="H146" s="16" t="s">
        <v>21</v>
      </c>
      <c r="I146" s="16" t="s">
        <v>53</v>
      </c>
      <c r="J146" s="16" t="s">
        <v>64</v>
      </c>
      <c r="K146" s="17">
        <v>12</v>
      </c>
      <c r="L146" s="18">
        <v>9642.85</v>
      </c>
      <c r="M146" s="18">
        <v>115714.2</v>
      </c>
      <c r="N146" s="18">
        <v>72639</v>
      </c>
      <c r="O146" s="19">
        <v>43075.199999999997</v>
      </c>
    </row>
    <row r="147" spans="1:15" x14ac:dyDescent="0.3">
      <c r="A147" s="20" t="s">
        <v>222</v>
      </c>
      <c r="B147" s="21">
        <v>45684</v>
      </c>
      <c r="C147" s="22" t="s">
        <v>78</v>
      </c>
      <c r="D147" s="22" t="s">
        <v>39</v>
      </c>
      <c r="E147" s="22" t="s">
        <v>71</v>
      </c>
      <c r="F147" s="22" t="s">
        <v>72</v>
      </c>
      <c r="G147" s="22" t="s">
        <v>29</v>
      </c>
      <c r="H147" s="22" t="s">
        <v>35</v>
      </c>
      <c r="I147" s="22" t="s">
        <v>22</v>
      </c>
      <c r="J147" s="22" t="s">
        <v>36</v>
      </c>
      <c r="K147" s="23">
        <v>5</v>
      </c>
      <c r="L147" s="24">
        <v>923.67</v>
      </c>
      <c r="M147" s="24">
        <v>4618.3500000000004</v>
      </c>
      <c r="N147" s="24">
        <v>2616.3000000000002</v>
      </c>
      <c r="O147" s="25">
        <v>2002.05</v>
      </c>
    </row>
    <row r="148" spans="1:15" x14ac:dyDescent="0.3">
      <c r="A148" s="14" t="s">
        <v>223</v>
      </c>
      <c r="B148" s="15">
        <v>45769</v>
      </c>
      <c r="C148" s="16" t="s">
        <v>25</v>
      </c>
      <c r="D148" s="16" t="s">
        <v>26</v>
      </c>
      <c r="E148" s="16" t="s">
        <v>57</v>
      </c>
      <c r="F148" s="16" t="s">
        <v>58</v>
      </c>
      <c r="G148" s="16" t="s">
        <v>20</v>
      </c>
      <c r="H148" s="16" t="s">
        <v>21</v>
      </c>
      <c r="I148" s="16" t="s">
        <v>53</v>
      </c>
      <c r="J148" s="16" t="s">
        <v>61</v>
      </c>
      <c r="K148" s="17">
        <v>12</v>
      </c>
      <c r="L148" s="18">
        <v>6242.71</v>
      </c>
      <c r="M148" s="18">
        <v>74912.52</v>
      </c>
      <c r="N148" s="18">
        <v>48682.32</v>
      </c>
      <c r="O148" s="19">
        <v>26230.2</v>
      </c>
    </row>
    <row r="149" spans="1:15" x14ac:dyDescent="0.3">
      <c r="A149" s="20" t="s">
        <v>224</v>
      </c>
      <c r="B149" s="21">
        <v>45825</v>
      </c>
      <c r="C149" s="22" t="s">
        <v>16</v>
      </c>
      <c r="D149" s="22" t="s">
        <v>17</v>
      </c>
      <c r="E149" s="22" t="s">
        <v>18</v>
      </c>
      <c r="F149" s="22" t="s">
        <v>19</v>
      </c>
      <c r="G149" s="22" t="s">
        <v>63</v>
      </c>
      <c r="H149" s="22" t="s">
        <v>35</v>
      </c>
      <c r="I149" s="22" t="s">
        <v>31</v>
      </c>
      <c r="J149" s="22" t="s">
        <v>86</v>
      </c>
      <c r="K149" s="23">
        <v>11</v>
      </c>
      <c r="L149" s="24">
        <v>19228.53</v>
      </c>
      <c r="M149" s="24">
        <v>211513.83</v>
      </c>
      <c r="N149" s="24">
        <v>149887.76</v>
      </c>
      <c r="O149" s="25">
        <v>61626.07</v>
      </c>
    </row>
    <row r="150" spans="1:15" x14ac:dyDescent="0.3">
      <c r="A150" s="14" t="s">
        <v>225</v>
      </c>
      <c r="B150" s="15">
        <v>45932</v>
      </c>
      <c r="C150" s="16" t="s">
        <v>34</v>
      </c>
      <c r="D150" s="16" t="s">
        <v>49</v>
      </c>
      <c r="E150" s="16" t="s">
        <v>50</v>
      </c>
      <c r="F150" s="16" t="s">
        <v>51</v>
      </c>
      <c r="G150" s="16" t="s">
        <v>20</v>
      </c>
      <c r="H150" s="16" t="s">
        <v>21</v>
      </c>
      <c r="I150" s="16" t="s">
        <v>53</v>
      </c>
      <c r="J150" s="16" t="s">
        <v>64</v>
      </c>
      <c r="K150" s="17">
        <v>4</v>
      </c>
      <c r="L150" s="18">
        <v>9139.9599999999991</v>
      </c>
      <c r="M150" s="18">
        <v>36559.839999999997</v>
      </c>
      <c r="N150" s="18">
        <v>24323.24</v>
      </c>
      <c r="O150" s="19">
        <v>12236.6</v>
      </c>
    </row>
    <row r="151" spans="1:15" x14ac:dyDescent="0.3">
      <c r="A151" s="20" t="s">
        <v>226</v>
      </c>
      <c r="B151" s="21">
        <v>45766</v>
      </c>
      <c r="C151" s="22" t="s">
        <v>25</v>
      </c>
      <c r="D151" s="22" t="s">
        <v>49</v>
      </c>
      <c r="E151" s="22" t="s">
        <v>66</v>
      </c>
      <c r="F151" s="22" t="s">
        <v>67</v>
      </c>
      <c r="G151" s="22" t="s">
        <v>46</v>
      </c>
      <c r="H151" s="22" t="s">
        <v>35</v>
      </c>
      <c r="I151" s="22" t="s">
        <v>31</v>
      </c>
      <c r="J151" s="22" t="s">
        <v>32</v>
      </c>
      <c r="K151" s="23">
        <v>1</v>
      </c>
      <c r="L151" s="24">
        <v>48569.84</v>
      </c>
      <c r="M151" s="24">
        <v>48569.84</v>
      </c>
      <c r="N151" s="24">
        <v>39387.379999999997</v>
      </c>
      <c r="O151" s="25">
        <v>9182.4599999999991</v>
      </c>
    </row>
    <row r="152" spans="1:15" x14ac:dyDescent="0.3">
      <c r="A152" s="14" t="s">
        <v>227</v>
      </c>
      <c r="B152" s="15">
        <v>45740</v>
      </c>
      <c r="C152" s="16" t="s">
        <v>38</v>
      </c>
      <c r="D152" s="16" t="s">
        <v>39</v>
      </c>
      <c r="E152" s="16" t="s">
        <v>80</v>
      </c>
      <c r="F152" s="16" t="s">
        <v>81</v>
      </c>
      <c r="G152" s="16" t="s">
        <v>20</v>
      </c>
      <c r="H152" s="16" t="s">
        <v>21</v>
      </c>
      <c r="I152" s="16" t="s">
        <v>31</v>
      </c>
      <c r="J152" s="16" t="s">
        <v>32</v>
      </c>
      <c r="K152" s="17">
        <v>12</v>
      </c>
      <c r="L152" s="18">
        <v>53379.65</v>
      </c>
      <c r="M152" s="18">
        <v>640555.80000000005</v>
      </c>
      <c r="N152" s="18">
        <v>469498.2</v>
      </c>
      <c r="O152" s="19">
        <v>171057.6</v>
      </c>
    </row>
    <row r="153" spans="1:15" x14ac:dyDescent="0.3">
      <c r="A153" s="20" t="s">
        <v>228</v>
      </c>
      <c r="B153" s="21">
        <v>45692</v>
      </c>
      <c r="C153" s="22" t="s">
        <v>45</v>
      </c>
      <c r="D153" s="22" t="s">
        <v>26</v>
      </c>
      <c r="E153" s="22" t="s">
        <v>27</v>
      </c>
      <c r="F153" s="22" t="s">
        <v>28</v>
      </c>
      <c r="G153" s="22" t="s">
        <v>63</v>
      </c>
      <c r="H153" s="22" t="s">
        <v>21</v>
      </c>
      <c r="I153" s="22" t="s">
        <v>22</v>
      </c>
      <c r="J153" s="22" t="s">
        <v>68</v>
      </c>
      <c r="K153" s="23">
        <v>2</v>
      </c>
      <c r="L153" s="24">
        <v>2654.89</v>
      </c>
      <c r="M153" s="24">
        <v>5309.78</v>
      </c>
      <c r="N153" s="24">
        <v>3076.74</v>
      </c>
      <c r="O153" s="25">
        <v>2233.04</v>
      </c>
    </row>
    <row r="154" spans="1:15" x14ac:dyDescent="0.3">
      <c r="A154" s="14" t="s">
        <v>229</v>
      </c>
      <c r="B154" s="15">
        <v>46022</v>
      </c>
      <c r="C154" s="16" t="s">
        <v>48</v>
      </c>
      <c r="D154" s="16" t="s">
        <v>49</v>
      </c>
      <c r="E154" s="16" t="s">
        <v>83</v>
      </c>
      <c r="F154" s="16" t="s">
        <v>84</v>
      </c>
      <c r="G154" s="16" t="s">
        <v>85</v>
      </c>
      <c r="H154" s="16" t="s">
        <v>21</v>
      </c>
      <c r="I154" s="16" t="s">
        <v>31</v>
      </c>
      <c r="J154" s="16" t="s">
        <v>32</v>
      </c>
      <c r="K154" s="17">
        <v>1</v>
      </c>
      <c r="L154" s="18">
        <v>48628.53</v>
      </c>
      <c r="M154" s="18">
        <v>48628.53</v>
      </c>
      <c r="N154" s="18">
        <v>42425.64</v>
      </c>
      <c r="O154" s="19">
        <v>6202.89</v>
      </c>
    </row>
    <row r="155" spans="1:15" x14ac:dyDescent="0.3">
      <c r="A155" s="20" t="s">
        <v>230</v>
      </c>
      <c r="B155" s="21">
        <v>45982</v>
      </c>
      <c r="C155" s="22" t="s">
        <v>89</v>
      </c>
      <c r="D155" s="22" t="s">
        <v>26</v>
      </c>
      <c r="E155" s="22" t="s">
        <v>57</v>
      </c>
      <c r="F155" s="22" t="s">
        <v>58</v>
      </c>
      <c r="G155" s="22" t="s">
        <v>59</v>
      </c>
      <c r="H155" s="22" t="s">
        <v>30</v>
      </c>
      <c r="I155" s="22" t="s">
        <v>31</v>
      </c>
      <c r="J155" s="22" t="s">
        <v>32</v>
      </c>
      <c r="K155" s="23">
        <v>2</v>
      </c>
      <c r="L155" s="24">
        <v>54537.34</v>
      </c>
      <c r="M155" s="24">
        <v>109074.68</v>
      </c>
      <c r="N155" s="24">
        <v>83199.820000000007</v>
      </c>
      <c r="O155" s="25">
        <v>25874.86</v>
      </c>
    </row>
    <row r="156" spans="1:15" x14ac:dyDescent="0.3">
      <c r="A156" s="14" t="s">
        <v>231</v>
      </c>
      <c r="B156" s="15">
        <v>45808</v>
      </c>
      <c r="C156" s="16" t="s">
        <v>56</v>
      </c>
      <c r="D156" s="16" t="s">
        <v>39</v>
      </c>
      <c r="E156" s="16" t="s">
        <v>40</v>
      </c>
      <c r="F156" s="16" t="s">
        <v>41</v>
      </c>
      <c r="G156" s="16" t="s">
        <v>29</v>
      </c>
      <c r="H156" s="16" t="s">
        <v>30</v>
      </c>
      <c r="I156" s="16" t="s">
        <v>31</v>
      </c>
      <c r="J156" s="16" t="s">
        <v>86</v>
      </c>
      <c r="K156" s="17">
        <v>5</v>
      </c>
      <c r="L156" s="18">
        <v>19251.259999999998</v>
      </c>
      <c r="M156" s="18">
        <v>96256.3</v>
      </c>
      <c r="N156" s="18">
        <v>62064.65</v>
      </c>
      <c r="O156" s="19">
        <v>34191.65</v>
      </c>
    </row>
    <row r="157" spans="1:15" x14ac:dyDescent="0.3">
      <c r="A157" s="20" t="s">
        <v>232</v>
      </c>
      <c r="B157" s="21">
        <v>45846</v>
      </c>
      <c r="C157" s="22" t="s">
        <v>100</v>
      </c>
      <c r="D157" s="22" t="s">
        <v>39</v>
      </c>
      <c r="E157" s="22" t="s">
        <v>71</v>
      </c>
      <c r="F157" s="22" t="s">
        <v>72</v>
      </c>
      <c r="G157" s="22" t="s">
        <v>52</v>
      </c>
      <c r="H157" s="22" t="s">
        <v>30</v>
      </c>
      <c r="I157" s="22" t="s">
        <v>22</v>
      </c>
      <c r="J157" s="22" t="s">
        <v>68</v>
      </c>
      <c r="K157" s="23">
        <v>1</v>
      </c>
      <c r="L157" s="24">
        <v>2620.9</v>
      </c>
      <c r="M157" s="24">
        <v>2620.9</v>
      </c>
      <c r="N157" s="24">
        <v>1429.69</v>
      </c>
      <c r="O157" s="25">
        <v>1191.21</v>
      </c>
    </row>
    <row r="158" spans="1:15" x14ac:dyDescent="0.3">
      <c r="A158" s="14" t="s">
        <v>233</v>
      </c>
      <c r="B158" s="15">
        <v>45923</v>
      </c>
      <c r="C158" s="16" t="s">
        <v>74</v>
      </c>
      <c r="D158" s="16" t="s">
        <v>26</v>
      </c>
      <c r="E158" s="16" t="s">
        <v>27</v>
      </c>
      <c r="F158" s="16" t="s">
        <v>121</v>
      </c>
      <c r="G158" s="16" t="s">
        <v>52</v>
      </c>
      <c r="H158" s="16" t="s">
        <v>35</v>
      </c>
      <c r="I158" s="16" t="s">
        <v>31</v>
      </c>
      <c r="J158" s="16" t="s">
        <v>43</v>
      </c>
      <c r="K158" s="17">
        <v>10</v>
      </c>
      <c r="L158" s="18">
        <v>11549.83</v>
      </c>
      <c r="M158" s="18">
        <v>115498.3</v>
      </c>
      <c r="N158" s="18">
        <v>82897.899999999994</v>
      </c>
      <c r="O158" s="19">
        <v>32600.400000000001</v>
      </c>
    </row>
    <row r="159" spans="1:15" x14ac:dyDescent="0.3">
      <c r="A159" s="20" t="s">
        <v>234</v>
      </c>
      <c r="B159" s="21">
        <v>45704</v>
      </c>
      <c r="C159" s="22" t="s">
        <v>45</v>
      </c>
      <c r="D159" s="22" t="s">
        <v>39</v>
      </c>
      <c r="E159" s="22" t="s">
        <v>80</v>
      </c>
      <c r="F159" s="22" t="s">
        <v>81</v>
      </c>
      <c r="G159" s="22" t="s">
        <v>29</v>
      </c>
      <c r="H159" s="22" t="s">
        <v>21</v>
      </c>
      <c r="I159" s="22" t="s">
        <v>22</v>
      </c>
      <c r="J159" s="22" t="s">
        <v>23</v>
      </c>
      <c r="K159" s="23">
        <v>5</v>
      </c>
      <c r="L159" s="24">
        <v>1253.19</v>
      </c>
      <c r="M159" s="24">
        <v>6265.95</v>
      </c>
      <c r="N159" s="24">
        <v>3667.25</v>
      </c>
      <c r="O159" s="25">
        <v>2598.6999999999998</v>
      </c>
    </row>
    <row r="160" spans="1:15" x14ac:dyDescent="0.3">
      <c r="A160" s="14" t="s">
        <v>235</v>
      </c>
      <c r="B160" s="15">
        <v>45660</v>
      </c>
      <c r="C160" s="16" t="s">
        <v>78</v>
      </c>
      <c r="D160" s="16" t="s">
        <v>39</v>
      </c>
      <c r="E160" s="16" t="s">
        <v>40</v>
      </c>
      <c r="F160" s="16" t="s">
        <v>41</v>
      </c>
      <c r="G160" s="16" t="s">
        <v>46</v>
      </c>
      <c r="H160" s="16" t="s">
        <v>30</v>
      </c>
      <c r="I160" s="16" t="s">
        <v>22</v>
      </c>
      <c r="J160" s="16" t="s">
        <v>23</v>
      </c>
      <c r="K160" s="17">
        <v>8</v>
      </c>
      <c r="L160" s="18">
        <v>1222.6600000000001</v>
      </c>
      <c r="M160" s="18">
        <v>9781.2800000000007</v>
      </c>
      <c r="N160" s="18">
        <v>5856</v>
      </c>
      <c r="O160" s="19">
        <v>3925.28</v>
      </c>
    </row>
    <row r="161" spans="1:15" x14ac:dyDescent="0.3">
      <c r="A161" s="20" t="s">
        <v>236</v>
      </c>
      <c r="B161" s="21">
        <v>45921</v>
      </c>
      <c r="C161" s="22" t="s">
        <v>74</v>
      </c>
      <c r="D161" s="22" t="s">
        <v>39</v>
      </c>
      <c r="E161" s="22" t="s">
        <v>71</v>
      </c>
      <c r="F161" s="22" t="s">
        <v>72</v>
      </c>
      <c r="G161" s="22" t="s">
        <v>42</v>
      </c>
      <c r="H161" s="22" t="s">
        <v>30</v>
      </c>
      <c r="I161" s="22" t="s">
        <v>31</v>
      </c>
      <c r="J161" s="22" t="s">
        <v>43</v>
      </c>
      <c r="K161" s="23">
        <v>4</v>
      </c>
      <c r="L161" s="24">
        <v>12056.97</v>
      </c>
      <c r="M161" s="24">
        <v>48227.88</v>
      </c>
      <c r="N161" s="24">
        <v>30751.759999999998</v>
      </c>
      <c r="O161" s="25">
        <v>17476.12</v>
      </c>
    </row>
    <row r="162" spans="1:15" x14ac:dyDescent="0.3">
      <c r="A162" s="14" t="s">
        <v>237</v>
      </c>
      <c r="B162" s="15">
        <v>45983</v>
      </c>
      <c r="C162" s="16" t="s">
        <v>89</v>
      </c>
      <c r="D162" s="16" t="s">
        <v>26</v>
      </c>
      <c r="E162" s="16" t="s">
        <v>27</v>
      </c>
      <c r="F162" s="16" t="s">
        <v>121</v>
      </c>
      <c r="G162" s="16" t="s">
        <v>46</v>
      </c>
      <c r="H162" s="16" t="s">
        <v>35</v>
      </c>
      <c r="I162" s="16" t="s">
        <v>53</v>
      </c>
      <c r="J162" s="16" t="s">
        <v>54</v>
      </c>
      <c r="K162" s="17">
        <v>2</v>
      </c>
      <c r="L162" s="18">
        <v>10892.1</v>
      </c>
      <c r="M162" s="18">
        <v>21784.2</v>
      </c>
      <c r="N162" s="18">
        <v>15039.8</v>
      </c>
      <c r="O162" s="19">
        <v>6744.4</v>
      </c>
    </row>
    <row r="163" spans="1:15" x14ac:dyDescent="0.3">
      <c r="A163" s="20" t="s">
        <v>238</v>
      </c>
      <c r="B163" s="21">
        <v>45702</v>
      </c>
      <c r="C163" s="22" t="s">
        <v>45</v>
      </c>
      <c r="D163" s="22" t="s">
        <v>49</v>
      </c>
      <c r="E163" s="22" t="s">
        <v>66</v>
      </c>
      <c r="F163" s="22" t="s">
        <v>67</v>
      </c>
      <c r="G163" s="22" t="s">
        <v>20</v>
      </c>
      <c r="H163" s="22" t="s">
        <v>30</v>
      </c>
      <c r="I163" s="22" t="s">
        <v>31</v>
      </c>
      <c r="J163" s="22" t="s">
        <v>86</v>
      </c>
      <c r="K163" s="23">
        <v>5</v>
      </c>
      <c r="L163" s="24">
        <v>17895.759999999998</v>
      </c>
      <c r="M163" s="24">
        <v>89478.8</v>
      </c>
      <c r="N163" s="24">
        <v>65292.1</v>
      </c>
      <c r="O163" s="25">
        <v>24186.7</v>
      </c>
    </row>
    <row r="164" spans="1:15" x14ac:dyDescent="0.3">
      <c r="A164" s="14" t="s">
        <v>239</v>
      </c>
      <c r="B164" s="15">
        <v>45745</v>
      </c>
      <c r="C164" s="16" t="s">
        <v>38</v>
      </c>
      <c r="D164" s="16" t="s">
        <v>49</v>
      </c>
      <c r="E164" s="16" t="s">
        <v>66</v>
      </c>
      <c r="F164" s="16" t="s">
        <v>67</v>
      </c>
      <c r="G164" s="16" t="s">
        <v>85</v>
      </c>
      <c r="H164" s="16" t="s">
        <v>30</v>
      </c>
      <c r="I164" s="16" t="s">
        <v>31</v>
      </c>
      <c r="J164" s="16" t="s">
        <v>43</v>
      </c>
      <c r="K164" s="17">
        <v>10</v>
      </c>
      <c r="L164" s="18">
        <v>12518.06</v>
      </c>
      <c r="M164" s="18">
        <v>125180.6</v>
      </c>
      <c r="N164" s="18">
        <v>82023.899999999994</v>
      </c>
      <c r="O164" s="19">
        <v>43156.7</v>
      </c>
    </row>
    <row r="165" spans="1:15" x14ac:dyDescent="0.3">
      <c r="A165" s="20" t="s">
        <v>240</v>
      </c>
      <c r="B165" s="21">
        <v>45988</v>
      </c>
      <c r="C165" s="22" t="s">
        <v>89</v>
      </c>
      <c r="D165" s="22" t="s">
        <v>26</v>
      </c>
      <c r="E165" s="22" t="s">
        <v>27</v>
      </c>
      <c r="F165" s="22" t="s">
        <v>121</v>
      </c>
      <c r="G165" s="22" t="s">
        <v>63</v>
      </c>
      <c r="H165" s="22" t="s">
        <v>35</v>
      </c>
      <c r="I165" s="22" t="s">
        <v>31</v>
      </c>
      <c r="J165" s="22" t="s">
        <v>86</v>
      </c>
      <c r="K165" s="23">
        <v>11</v>
      </c>
      <c r="L165" s="24">
        <v>18235.09</v>
      </c>
      <c r="M165" s="24">
        <v>200585.99</v>
      </c>
      <c r="N165" s="24">
        <v>140473.63</v>
      </c>
      <c r="O165" s="25">
        <v>60112.36</v>
      </c>
    </row>
    <row r="166" spans="1:15" x14ac:dyDescent="0.3">
      <c r="A166" s="14" t="s">
        <v>241</v>
      </c>
      <c r="B166" s="15">
        <v>45895</v>
      </c>
      <c r="C166" s="16" t="s">
        <v>70</v>
      </c>
      <c r="D166" s="16" t="s">
        <v>49</v>
      </c>
      <c r="E166" s="16" t="s">
        <v>66</v>
      </c>
      <c r="F166" s="16" t="s">
        <v>67</v>
      </c>
      <c r="G166" s="16" t="s">
        <v>59</v>
      </c>
      <c r="H166" s="16" t="s">
        <v>35</v>
      </c>
      <c r="I166" s="16" t="s">
        <v>31</v>
      </c>
      <c r="J166" s="16" t="s">
        <v>32</v>
      </c>
      <c r="K166" s="17">
        <v>6</v>
      </c>
      <c r="L166" s="18">
        <v>51963.74</v>
      </c>
      <c r="M166" s="18">
        <v>311782.44</v>
      </c>
      <c r="N166" s="18">
        <v>255474.06</v>
      </c>
      <c r="O166" s="19">
        <v>56308.38</v>
      </c>
    </row>
    <row r="167" spans="1:15" x14ac:dyDescent="0.3">
      <c r="A167" s="20" t="s">
        <v>242</v>
      </c>
      <c r="B167" s="21">
        <v>45779</v>
      </c>
      <c r="C167" s="22" t="s">
        <v>56</v>
      </c>
      <c r="D167" s="22" t="s">
        <v>17</v>
      </c>
      <c r="E167" s="22" t="s">
        <v>18</v>
      </c>
      <c r="F167" s="22" t="s">
        <v>19</v>
      </c>
      <c r="G167" s="22" t="s">
        <v>59</v>
      </c>
      <c r="H167" s="22" t="s">
        <v>35</v>
      </c>
      <c r="I167" s="22" t="s">
        <v>22</v>
      </c>
      <c r="J167" s="22" t="s">
        <v>23</v>
      </c>
      <c r="K167" s="23">
        <v>12</v>
      </c>
      <c r="L167" s="24">
        <v>1144.08</v>
      </c>
      <c r="M167" s="24">
        <v>13728.96</v>
      </c>
      <c r="N167" s="24">
        <v>8187.96</v>
      </c>
      <c r="O167" s="25">
        <v>5541</v>
      </c>
    </row>
    <row r="168" spans="1:15" x14ac:dyDescent="0.3">
      <c r="A168" s="14" t="s">
        <v>243</v>
      </c>
      <c r="B168" s="15">
        <v>45825</v>
      </c>
      <c r="C168" s="16" t="s">
        <v>16</v>
      </c>
      <c r="D168" s="16" t="s">
        <v>39</v>
      </c>
      <c r="E168" s="16" t="s">
        <v>80</v>
      </c>
      <c r="F168" s="16" t="s">
        <v>81</v>
      </c>
      <c r="G168" s="16" t="s">
        <v>85</v>
      </c>
      <c r="H168" s="16" t="s">
        <v>30</v>
      </c>
      <c r="I168" s="16" t="s">
        <v>31</v>
      </c>
      <c r="J168" s="16" t="s">
        <v>86</v>
      </c>
      <c r="K168" s="17">
        <v>12</v>
      </c>
      <c r="L168" s="18">
        <v>19426.3</v>
      </c>
      <c r="M168" s="18">
        <v>233115.6</v>
      </c>
      <c r="N168" s="18">
        <v>150767.76</v>
      </c>
      <c r="O168" s="19">
        <v>82347.839999999997</v>
      </c>
    </row>
    <row r="169" spans="1:15" x14ac:dyDescent="0.3">
      <c r="A169" s="20" t="s">
        <v>244</v>
      </c>
      <c r="B169" s="21">
        <v>45994</v>
      </c>
      <c r="C169" s="22" t="s">
        <v>48</v>
      </c>
      <c r="D169" s="22" t="s">
        <v>26</v>
      </c>
      <c r="E169" s="22" t="s">
        <v>27</v>
      </c>
      <c r="F169" s="22" t="s">
        <v>28</v>
      </c>
      <c r="G169" s="22" t="s">
        <v>29</v>
      </c>
      <c r="H169" s="22" t="s">
        <v>21</v>
      </c>
      <c r="I169" s="22" t="s">
        <v>31</v>
      </c>
      <c r="J169" s="22" t="s">
        <v>86</v>
      </c>
      <c r="K169" s="23">
        <v>12</v>
      </c>
      <c r="L169" s="24">
        <v>17542.990000000002</v>
      </c>
      <c r="M169" s="24">
        <v>210515.88</v>
      </c>
      <c r="N169" s="24">
        <v>152471.64000000001</v>
      </c>
      <c r="O169" s="25">
        <v>58044.24</v>
      </c>
    </row>
    <row r="170" spans="1:15" x14ac:dyDescent="0.3">
      <c r="A170" s="14" t="s">
        <v>245</v>
      </c>
      <c r="B170" s="15">
        <v>45713</v>
      </c>
      <c r="C170" s="16" t="s">
        <v>45</v>
      </c>
      <c r="D170" s="16" t="s">
        <v>26</v>
      </c>
      <c r="E170" s="16" t="s">
        <v>27</v>
      </c>
      <c r="F170" s="16" t="s">
        <v>121</v>
      </c>
      <c r="G170" s="16" t="s">
        <v>85</v>
      </c>
      <c r="H170" s="16" t="s">
        <v>30</v>
      </c>
      <c r="I170" s="16" t="s">
        <v>53</v>
      </c>
      <c r="J170" s="16" t="s">
        <v>61</v>
      </c>
      <c r="K170" s="17">
        <v>1</v>
      </c>
      <c r="L170" s="18">
        <v>6434.05</v>
      </c>
      <c r="M170" s="18">
        <v>6434.05</v>
      </c>
      <c r="N170" s="18">
        <v>4322.22</v>
      </c>
      <c r="O170" s="19">
        <v>2111.83</v>
      </c>
    </row>
    <row r="171" spans="1:15" x14ac:dyDescent="0.3">
      <c r="A171" s="20" t="s">
        <v>246</v>
      </c>
      <c r="B171" s="21">
        <v>46013</v>
      </c>
      <c r="C171" s="22" t="s">
        <v>48</v>
      </c>
      <c r="D171" s="22" t="s">
        <v>17</v>
      </c>
      <c r="E171" s="22" t="s">
        <v>92</v>
      </c>
      <c r="F171" s="22" t="s">
        <v>93</v>
      </c>
      <c r="G171" s="22" t="s">
        <v>59</v>
      </c>
      <c r="H171" s="22" t="s">
        <v>30</v>
      </c>
      <c r="I171" s="22" t="s">
        <v>31</v>
      </c>
      <c r="J171" s="22" t="s">
        <v>32</v>
      </c>
      <c r="K171" s="23">
        <v>5</v>
      </c>
      <c r="L171" s="24">
        <v>53068.93</v>
      </c>
      <c r="M171" s="24">
        <v>265344.65000000002</v>
      </c>
      <c r="N171" s="24">
        <v>203046.6</v>
      </c>
      <c r="O171" s="25">
        <v>62298.05</v>
      </c>
    </row>
    <row r="172" spans="1:15" x14ac:dyDescent="0.3">
      <c r="A172" s="14" t="s">
        <v>247</v>
      </c>
      <c r="B172" s="15">
        <v>45782</v>
      </c>
      <c r="C172" s="16" t="s">
        <v>56</v>
      </c>
      <c r="D172" s="16" t="s">
        <v>49</v>
      </c>
      <c r="E172" s="16" t="s">
        <v>66</v>
      </c>
      <c r="F172" s="16" t="s">
        <v>67</v>
      </c>
      <c r="G172" s="16" t="s">
        <v>29</v>
      </c>
      <c r="H172" s="16" t="s">
        <v>21</v>
      </c>
      <c r="I172" s="16" t="s">
        <v>22</v>
      </c>
      <c r="J172" s="16" t="s">
        <v>68</v>
      </c>
      <c r="K172" s="17">
        <v>11</v>
      </c>
      <c r="L172" s="18">
        <v>2655.03</v>
      </c>
      <c r="M172" s="18">
        <v>29205.33</v>
      </c>
      <c r="N172" s="18">
        <v>16952.21</v>
      </c>
      <c r="O172" s="19">
        <v>12253.12</v>
      </c>
    </row>
    <row r="173" spans="1:15" x14ac:dyDescent="0.3">
      <c r="A173" s="20" t="s">
        <v>248</v>
      </c>
      <c r="B173" s="21">
        <v>46016</v>
      </c>
      <c r="C173" s="22" t="s">
        <v>48</v>
      </c>
      <c r="D173" s="22" t="s">
        <v>17</v>
      </c>
      <c r="E173" s="22" t="s">
        <v>92</v>
      </c>
      <c r="F173" s="22" t="s">
        <v>93</v>
      </c>
      <c r="G173" s="22" t="s">
        <v>42</v>
      </c>
      <c r="H173" s="22" t="s">
        <v>35</v>
      </c>
      <c r="I173" s="22" t="s">
        <v>31</v>
      </c>
      <c r="J173" s="22" t="s">
        <v>86</v>
      </c>
      <c r="K173" s="23">
        <v>7</v>
      </c>
      <c r="L173" s="24">
        <v>17585.14</v>
      </c>
      <c r="M173" s="24">
        <v>123095.98</v>
      </c>
      <c r="N173" s="24">
        <v>92167.32</v>
      </c>
      <c r="O173" s="25">
        <v>30928.66</v>
      </c>
    </row>
    <row r="174" spans="1:15" x14ac:dyDescent="0.3">
      <c r="A174" s="14" t="s">
        <v>249</v>
      </c>
      <c r="B174" s="15">
        <v>45708</v>
      </c>
      <c r="C174" s="16" t="s">
        <v>45</v>
      </c>
      <c r="D174" s="16" t="s">
        <v>49</v>
      </c>
      <c r="E174" s="16" t="s">
        <v>83</v>
      </c>
      <c r="F174" s="16" t="s">
        <v>84</v>
      </c>
      <c r="G174" s="16" t="s">
        <v>29</v>
      </c>
      <c r="H174" s="16" t="s">
        <v>35</v>
      </c>
      <c r="I174" s="16" t="s">
        <v>22</v>
      </c>
      <c r="J174" s="16" t="s">
        <v>68</v>
      </c>
      <c r="K174" s="17">
        <v>3</v>
      </c>
      <c r="L174" s="18">
        <v>2418.77</v>
      </c>
      <c r="M174" s="18">
        <v>7256.31</v>
      </c>
      <c r="N174" s="18">
        <v>4465.62</v>
      </c>
      <c r="O174" s="19">
        <v>2790.69</v>
      </c>
    </row>
    <row r="175" spans="1:15" x14ac:dyDescent="0.3">
      <c r="A175" s="20" t="s">
        <v>250</v>
      </c>
      <c r="B175" s="21">
        <v>45891</v>
      </c>
      <c r="C175" s="22" t="s">
        <v>70</v>
      </c>
      <c r="D175" s="22" t="s">
        <v>26</v>
      </c>
      <c r="E175" s="22" t="s">
        <v>57</v>
      </c>
      <c r="F175" s="22" t="s">
        <v>58</v>
      </c>
      <c r="G175" s="22" t="s">
        <v>29</v>
      </c>
      <c r="H175" s="22" t="s">
        <v>35</v>
      </c>
      <c r="I175" s="22" t="s">
        <v>22</v>
      </c>
      <c r="J175" s="22" t="s">
        <v>68</v>
      </c>
      <c r="K175" s="23">
        <v>3</v>
      </c>
      <c r="L175" s="24">
        <v>2660.44</v>
      </c>
      <c r="M175" s="24">
        <v>7981.32</v>
      </c>
      <c r="N175" s="24">
        <v>4422.63</v>
      </c>
      <c r="O175" s="25">
        <v>3558.69</v>
      </c>
    </row>
    <row r="176" spans="1:15" x14ac:dyDescent="0.3">
      <c r="A176" s="14" t="s">
        <v>251</v>
      </c>
      <c r="B176" s="15">
        <v>45663</v>
      </c>
      <c r="C176" s="16" t="s">
        <v>78</v>
      </c>
      <c r="D176" s="16" t="s">
        <v>49</v>
      </c>
      <c r="E176" s="16" t="s">
        <v>50</v>
      </c>
      <c r="F176" s="16" t="s">
        <v>51</v>
      </c>
      <c r="G176" s="16" t="s">
        <v>46</v>
      </c>
      <c r="H176" s="16" t="s">
        <v>21</v>
      </c>
      <c r="I176" s="16" t="s">
        <v>53</v>
      </c>
      <c r="J176" s="16" t="s">
        <v>64</v>
      </c>
      <c r="K176" s="17">
        <v>4</v>
      </c>
      <c r="L176" s="18">
        <v>8587.14</v>
      </c>
      <c r="M176" s="18">
        <v>34348.559999999998</v>
      </c>
      <c r="N176" s="18">
        <v>25498.84</v>
      </c>
      <c r="O176" s="19">
        <v>8849.7199999999993</v>
      </c>
    </row>
    <row r="177" spans="1:15" x14ac:dyDescent="0.3">
      <c r="A177" s="20" t="s">
        <v>252</v>
      </c>
      <c r="B177" s="21">
        <v>45760</v>
      </c>
      <c r="C177" s="22" t="s">
        <v>25</v>
      </c>
      <c r="D177" s="22" t="s">
        <v>39</v>
      </c>
      <c r="E177" s="22" t="s">
        <v>80</v>
      </c>
      <c r="F177" s="22" t="s">
        <v>81</v>
      </c>
      <c r="G177" s="22" t="s">
        <v>52</v>
      </c>
      <c r="H177" s="22" t="s">
        <v>35</v>
      </c>
      <c r="I177" s="22" t="s">
        <v>31</v>
      </c>
      <c r="J177" s="22" t="s">
        <v>43</v>
      </c>
      <c r="K177" s="23">
        <v>8</v>
      </c>
      <c r="L177" s="24">
        <v>12081.94</v>
      </c>
      <c r="M177" s="24">
        <v>96655.52</v>
      </c>
      <c r="N177" s="24">
        <v>64891.28</v>
      </c>
      <c r="O177" s="25">
        <v>31764.240000000002</v>
      </c>
    </row>
    <row r="178" spans="1:15" x14ac:dyDescent="0.3">
      <c r="A178" s="14" t="s">
        <v>253</v>
      </c>
      <c r="B178" s="15">
        <v>45847</v>
      </c>
      <c r="C178" s="16" t="s">
        <v>100</v>
      </c>
      <c r="D178" s="16" t="s">
        <v>39</v>
      </c>
      <c r="E178" s="16" t="s">
        <v>40</v>
      </c>
      <c r="F178" s="16" t="s">
        <v>41</v>
      </c>
      <c r="G178" s="16" t="s">
        <v>52</v>
      </c>
      <c r="H178" s="16" t="s">
        <v>21</v>
      </c>
      <c r="I178" s="16" t="s">
        <v>22</v>
      </c>
      <c r="J178" s="16" t="s">
        <v>23</v>
      </c>
      <c r="K178" s="17">
        <v>7</v>
      </c>
      <c r="L178" s="18">
        <v>1208.48</v>
      </c>
      <c r="M178" s="18">
        <v>8459.36</v>
      </c>
      <c r="N178" s="18">
        <v>5112.03</v>
      </c>
      <c r="O178" s="19">
        <v>3347.33</v>
      </c>
    </row>
    <row r="179" spans="1:15" x14ac:dyDescent="0.3">
      <c r="A179" s="20" t="s">
        <v>254</v>
      </c>
      <c r="B179" s="21">
        <v>45972</v>
      </c>
      <c r="C179" s="22" t="s">
        <v>89</v>
      </c>
      <c r="D179" s="22" t="s">
        <v>39</v>
      </c>
      <c r="E179" s="22" t="s">
        <v>71</v>
      </c>
      <c r="F179" s="22" t="s">
        <v>72</v>
      </c>
      <c r="G179" s="22" t="s">
        <v>20</v>
      </c>
      <c r="H179" s="22" t="s">
        <v>30</v>
      </c>
      <c r="I179" s="22" t="s">
        <v>53</v>
      </c>
      <c r="J179" s="22" t="s">
        <v>54</v>
      </c>
      <c r="K179" s="23">
        <v>7</v>
      </c>
      <c r="L179" s="24">
        <v>10331.48</v>
      </c>
      <c r="M179" s="24">
        <v>72320.36</v>
      </c>
      <c r="N179" s="24">
        <v>50939.98</v>
      </c>
      <c r="O179" s="25">
        <v>21380.38</v>
      </c>
    </row>
    <row r="180" spans="1:15" x14ac:dyDescent="0.3">
      <c r="A180" s="14" t="s">
        <v>255</v>
      </c>
      <c r="B180" s="15">
        <v>45873</v>
      </c>
      <c r="C180" s="16" t="s">
        <v>70</v>
      </c>
      <c r="D180" s="16" t="s">
        <v>39</v>
      </c>
      <c r="E180" s="16" t="s">
        <v>71</v>
      </c>
      <c r="F180" s="16" t="s">
        <v>72</v>
      </c>
      <c r="G180" s="16" t="s">
        <v>59</v>
      </c>
      <c r="H180" s="16" t="s">
        <v>21</v>
      </c>
      <c r="I180" s="16" t="s">
        <v>31</v>
      </c>
      <c r="J180" s="16" t="s">
        <v>86</v>
      </c>
      <c r="K180" s="17">
        <v>12</v>
      </c>
      <c r="L180" s="18">
        <v>17821.29</v>
      </c>
      <c r="M180" s="18">
        <v>213855.48</v>
      </c>
      <c r="N180" s="18">
        <v>163076.04</v>
      </c>
      <c r="O180" s="19">
        <v>50779.44</v>
      </c>
    </row>
    <row r="181" spans="1:15" x14ac:dyDescent="0.3">
      <c r="A181" s="20" t="s">
        <v>256</v>
      </c>
      <c r="B181" s="21">
        <v>45770</v>
      </c>
      <c r="C181" s="22" t="s">
        <v>25</v>
      </c>
      <c r="D181" s="22" t="s">
        <v>49</v>
      </c>
      <c r="E181" s="22" t="s">
        <v>50</v>
      </c>
      <c r="F181" s="22" t="s">
        <v>51</v>
      </c>
      <c r="G181" s="22" t="s">
        <v>85</v>
      </c>
      <c r="H181" s="22" t="s">
        <v>21</v>
      </c>
      <c r="I181" s="22" t="s">
        <v>31</v>
      </c>
      <c r="J181" s="22" t="s">
        <v>32</v>
      </c>
      <c r="K181" s="23">
        <v>11</v>
      </c>
      <c r="L181" s="24">
        <v>49866.74</v>
      </c>
      <c r="M181" s="24">
        <v>548534.14</v>
      </c>
      <c r="N181" s="24">
        <v>457413.22</v>
      </c>
      <c r="O181" s="25">
        <v>91120.92</v>
      </c>
    </row>
    <row r="182" spans="1:15" x14ac:dyDescent="0.3">
      <c r="A182" s="14" t="s">
        <v>257</v>
      </c>
      <c r="B182" s="15">
        <v>45773</v>
      </c>
      <c r="C182" s="16" t="s">
        <v>25</v>
      </c>
      <c r="D182" s="16" t="s">
        <v>17</v>
      </c>
      <c r="E182" s="16" t="s">
        <v>18</v>
      </c>
      <c r="F182" s="16" t="s">
        <v>19</v>
      </c>
      <c r="G182" s="16" t="s">
        <v>29</v>
      </c>
      <c r="H182" s="16" t="s">
        <v>30</v>
      </c>
      <c r="I182" s="16" t="s">
        <v>53</v>
      </c>
      <c r="J182" s="16" t="s">
        <v>64</v>
      </c>
      <c r="K182" s="17">
        <v>11</v>
      </c>
      <c r="L182" s="18">
        <v>8538.9699999999993</v>
      </c>
      <c r="M182" s="18">
        <v>93928.67</v>
      </c>
      <c r="N182" s="18">
        <v>70476.12</v>
      </c>
      <c r="O182" s="19">
        <v>23452.55</v>
      </c>
    </row>
    <row r="183" spans="1:15" x14ac:dyDescent="0.3">
      <c r="A183" s="20" t="s">
        <v>258</v>
      </c>
      <c r="B183" s="21">
        <v>45839</v>
      </c>
      <c r="C183" s="22" t="s">
        <v>100</v>
      </c>
      <c r="D183" s="22" t="s">
        <v>17</v>
      </c>
      <c r="E183" s="22" t="s">
        <v>18</v>
      </c>
      <c r="F183" s="22" t="s">
        <v>19</v>
      </c>
      <c r="G183" s="22" t="s">
        <v>29</v>
      </c>
      <c r="H183" s="22" t="s">
        <v>35</v>
      </c>
      <c r="I183" s="22" t="s">
        <v>53</v>
      </c>
      <c r="J183" s="22" t="s">
        <v>54</v>
      </c>
      <c r="K183" s="23">
        <v>11</v>
      </c>
      <c r="L183" s="24">
        <v>10536.72</v>
      </c>
      <c r="M183" s="24">
        <v>115903.92</v>
      </c>
      <c r="N183" s="24">
        <v>79442.55</v>
      </c>
      <c r="O183" s="25">
        <v>36461.370000000003</v>
      </c>
    </row>
    <row r="184" spans="1:15" x14ac:dyDescent="0.3">
      <c r="A184" s="14" t="s">
        <v>259</v>
      </c>
      <c r="B184" s="15">
        <v>45801</v>
      </c>
      <c r="C184" s="16" t="s">
        <v>56</v>
      </c>
      <c r="D184" s="16" t="s">
        <v>39</v>
      </c>
      <c r="E184" s="16" t="s">
        <v>80</v>
      </c>
      <c r="F184" s="16" t="s">
        <v>81</v>
      </c>
      <c r="G184" s="16" t="s">
        <v>59</v>
      </c>
      <c r="H184" s="16" t="s">
        <v>30</v>
      </c>
      <c r="I184" s="16" t="s">
        <v>53</v>
      </c>
      <c r="J184" s="16" t="s">
        <v>54</v>
      </c>
      <c r="K184" s="17">
        <v>7</v>
      </c>
      <c r="L184" s="18">
        <v>11258.55</v>
      </c>
      <c r="M184" s="18">
        <v>78809.850000000006</v>
      </c>
      <c r="N184" s="18">
        <v>50994.44</v>
      </c>
      <c r="O184" s="19">
        <v>27815.41</v>
      </c>
    </row>
    <row r="185" spans="1:15" x14ac:dyDescent="0.3">
      <c r="A185" s="20" t="s">
        <v>260</v>
      </c>
      <c r="B185" s="21">
        <v>45843</v>
      </c>
      <c r="C185" s="22" t="s">
        <v>100</v>
      </c>
      <c r="D185" s="22" t="s">
        <v>17</v>
      </c>
      <c r="E185" s="22" t="s">
        <v>18</v>
      </c>
      <c r="F185" s="22" t="s">
        <v>19</v>
      </c>
      <c r="G185" s="22" t="s">
        <v>29</v>
      </c>
      <c r="H185" s="22" t="s">
        <v>21</v>
      </c>
      <c r="I185" s="22" t="s">
        <v>31</v>
      </c>
      <c r="J185" s="22" t="s">
        <v>43</v>
      </c>
      <c r="K185" s="23">
        <v>6</v>
      </c>
      <c r="L185" s="24">
        <v>12571.27</v>
      </c>
      <c r="M185" s="24">
        <v>75427.62</v>
      </c>
      <c r="N185" s="24">
        <v>46273.919999999998</v>
      </c>
      <c r="O185" s="25">
        <v>29153.7</v>
      </c>
    </row>
    <row r="186" spans="1:15" x14ac:dyDescent="0.3">
      <c r="A186" s="14" t="s">
        <v>261</v>
      </c>
      <c r="B186" s="15">
        <v>45834</v>
      </c>
      <c r="C186" s="16" t="s">
        <v>16</v>
      </c>
      <c r="D186" s="16" t="s">
        <v>26</v>
      </c>
      <c r="E186" s="16" t="s">
        <v>57</v>
      </c>
      <c r="F186" s="16" t="s">
        <v>58</v>
      </c>
      <c r="G186" s="16" t="s">
        <v>20</v>
      </c>
      <c r="H186" s="16" t="s">
        <v>21</v>
      </c>
      <c r="I186" s="16" t="s">
        <v>31</v>
      </c>
      <c r="J186" s="16" t="s">
        <v>43</v>
      </c>
      <c r="K186" s="17">
        <v>5</v>
      </c>
      <c r="L186" s="18">
        <v>11610.05</v>
      </c>
      <c r="M186" s="18">
        <v>58050.25</v>
      </c>
      <c r="N186" s="18">
        <v>38406.050000000003</v>
      </c>
      <c r="O186" s="19">
        <v>19644.2</v>
      </c>
    </row>
    <row r="187" spans="1:15" x14ac:dyDescent="0.3">
      <c r="A187" s="20" t="s">
        <v>262</v>
      </c>
      <c r="B187" s="21">
        <v>45731</v>
      </c>
      <c r="C187" s="22" t="s">
        <v>38</v>
      </c>
      <c r="D187" s="22" t="s">
        <v>17</v>
      </c>
      <c r="E187" s="22" t="s">
        <v>116</v>
      </c>
      <c r="F187" s="22" t="s">
        <v>117</v>
      </c>
      <c r="G187" s="22" t="s">
        <v>52</v>
      </c>
      <c r="H187" s="22" t="s">
        <v>30</v>
      </c>
      <c r="I187" s="22" t="s">
        <v>31</v>
      </c>
      <c r="J187" s="22" t="s">
        <v>32</v>
      </c>
      <c r="K187" s="23">
        <v>7</v>
      </c>
      <c r="L187" s="24">
        <v>54535.06</v>
      </c>
      <c r="M187" s="24">
        <v>381745.42</v>
      </c>
      <c r="N187" s="24">
        <v>277469.08</v>
      </c>
      <c r="O187" s="25">
        <v>104276.34</v>
      </c>
    </row>
    <row r="188" spans="1:15" x14ac:dyDescent="0.3">
      <c r="A188" s="14" t="s">
        <v>263</v>
      </c>
      <c r="B188" s="15">
        <v>46010</v>
      </c>
      <c r="C188" s="16" t="s">
        <v>48</v>
      </c>
      <c r="D188" s="16" t="s">
        <v>26</v>
      </c>
      <c r="E188" s="16" t="s">
        <v>57</v>
      </c>
      <c r="F188" s="16" t="s">
        <v>58</v>
      </c>
      <c r="G188" s="16" t="s">
        <v>59</v>
      </c>
      <c r="H188" s="16" t="s">
        <v>21</v>
      </c>
      <c r="I188" s="16" t="s">
        <v>53</v>
      </c>
      <c r="J188" s="16" t="s">
        <v>64</v>
      </c>
      <c r="K188" s="17">
        <v>4</v>
      </c>
      <c r="L188" s="18">
        <v>9086.57</v>
      </c>
      <c r="M188" s="18">
        <v>36346.28</v>
      </c>
      <c r="N188" s="18">
        <v>25399.96</v>
      </c>
      <c r="O188" s="19">
        <v>10946.32</v>
      </c>
    </row>
    <row r="189" spans="1:15" x14ac:dyDescent="0.3">
      <c r="A189" s="20" t="s">
        <v>264</v>
      </c>
      <c r="B189" s="21">
        <v>45882</v>
      </c>
      <c r="C189" s="22" t="s">
        <v>70</v>
      </c>
      <c r="D189" s="22" t="s">
        <v>26</v>
      </c>
      <c r="E189" s="22" t="s">
        <v>57</v>
      </c>
      <c r="F189" s="22" t="s">
        <v>58</v>
      </c>
      <c r="G189" s="22" t="s">
        <v>46</v>
      </c>
      <c r="H189" s="22" t="s">
        <v>30</v>
      </c>
      <c r="I189" s="22" t="s">
        <v>53</v>
      </c>
      <c r="J189" s="22" t="s">
        <v>61</v>
      </c>
      <c r="K189" s="23">
        <v>3</v>
      </c>
      <c r="L189" s="24">
        <v>6506.41</v>
      </c>
      <c r="M189" s="24">
        <v>19519.23</v>
      </c>
      <c r="N189" s="24">
        <v>12672.09</v>
      </c>
      <c r="O189" s="25">
        <v>6847.14</v>
      </c>
    </row>
    <row r="190" spans="1:15" x14ac:dyDescent="0.3">
      <c r="A190" s="14" t="s">
        <v>265</v>
      </c>
      <c r="B190" s="15">
        <v>45905</v>
      </c>
      <c r="C190" s="16" t="s">
        <v>74</v>
      </c>
      <c r="D190" s="16" t="s">
        <v>49</v>
      </c>
      <c r="E190" s="16" t="s">
        <v>83</v>
      </c>
      <c r="F190" s="16" t="s">
        <v>84</v>
      </c>
      <c r="G190" s="16" t="s">
        <v>52</v>
      </c>
      <c r="H190" s="16" t="s">
        <v>21</v>
      </c>
      <c r="I190" s="16" t="s">
        <v>53</v>
      </c>
      <c r="J190" s="16" t="s">
        <v>61</v>
      </c>
      <c r="K190" s="17">
        <v>9</v>
      </c>
      <c r="L190" s="18">
        <v>6629.61</v>
      </c>
      <c r="M190" s="18">
        <v>59666.49</v>
      </c>
      <c r="N190" s="18">
        <v>38686.769999999997</v>
      </c>
      <c r="O190" s="19">
        <v>20979.72</v>
      </c>
    </row>
    <row r="191" spans="1:15" x14ac:dyDescent="0.3">
      <c r="A191" s="20" t="s">
        <v>266</v>
      </c>
      <c r="B191" s="21">
        <v>45740</v>
      </c>
      <c r="C191" s="22" t="s">
        <v>38</v>
      </c>
      <c r="D191" s="22" t="s">
        <v>39</v>
      </c>
      <c r="E191" s="22" t="s">
        <v>40</v>
      </c>
      <c r="F191" s="22" t="s">
        <v>41</v>
      </c>
      <c r="G191" s="22" t="s">
        <v>52</v>
      </c>
      <c r="H191" s="22" t="s">
        <v>35</v>
      </c>
      <c r="I191" s="22" t="s">
        <v>53</v>
      </c>
      <c r="J191" s="22" t="s">
        <v>54</v>
      </c>
      <c r="K191" s="23">
        <v>6</v>
      </c>
      <c r="L191" s="24">
        <v>10932.59</v>
      </c>
      <c r="M191" s="24">
        <v>65595.539999999994</v>
      </c>
      <c r="N191" s="24">
        <v>47879.76</v>
      </c>
      <c r="O191" s="25">
        <v>17715.78</v>
      </c>
    </row>
    <row r="192" spans="1:15" x14ac:dyDescent="0.3">
      <c r="A192" s="14" t="s">
        <v>267</v>
      </c>
      <c r="B192" s="15">
        <v>46004</v>
      </c>
      <c r="C192" s="16" t="s">
        <v>48</v>
      </c>
      <c r="D192" s="16" t="s">
        <v>26</v>
      </c>
      <c r="E192" s="16" t="s">
        <v>27</v>
      </c>
      <c r="F192" s="16" t="s">
        <v>28</v>
      </c>
      <c r="G192" s="16" t="s">
        <v>63</v>
      </c>
      <c r="H192" s="16" t="s">
        <v>35</v>
      </c>
      <c r="I192" s="16" t="s">
        <v>22</v>
      </c>
      <c r="J192" s="16" t="s">
        <v>23</v>
      </c>
      <c r="K192" s="17">
        <v>1</v>
      </c>
      <c r="L192" s="18">
        <v>1225.74</v>
      </c>
      <c r="M192" s="18">
        <v>1225.74</v>
      </c>
      <c r="N192" s="18">
        <v>712.78</v>
      </c>
      <c r="O192" s="19">
        <v>512.96</v>
      </c>
    </row>
    <row r="193" spans="1:15" x14ac:dyDescent="0.3">
      <c r="A193" s="20" t="s">
        <v>268</v>
      </c>
      <c r="B193" s="21">
        <v>45827</v>
      </c>
      <c r="C193" s="22" t="s">
        <v>16</v>
      </c>
      <c r="D193" s="22" t="s">
        <v>26</v>
      </c>
      <c r="E193" s="22" t="s">
        <v>57</v>
      </c>
      <c r="F193" s="22" t="s">
        <v>58</v>
      </c>
      <c r="G193" s="22" t="s">
        <v>52</v>
      </c>
      <c r="H193" s="22" t="s">
        <v>30</v>
      </c>
      <c r="I193" s="22" t="s">
        <v>31</v>
      </c>
      <c r="J193" s="22" t="s">
        <v>32</v>
      </c>
      <c r="K193" s="23">
        <v>4</v>
      </c>
      <c r="L193" s="24">
        <v>53961.84</v>
      </c>
      <c r="M193" s="24">
        <v>215847.36</v>
      </c>
      <c r="N193" s="24">
        <v>166054.56</v>
      </c>
      <c r="O193" s="25">
        <v>49792.800000000003</v>
      </c>
    </row>
    <row r="194" spans="1:15" x14ac:dyDescent="0.3">
      <c r="A194" s="14" t="s">
        <v>269</v>
      </c>
      <c r="B194" s="15">
        <v>45831</v>
      </c>
      <c r="C194" s="16" t="s">
        <v>16</v>
      </c>
      <c r="D194" s="16" t="s">
        <v>26</v>
      </c>
      <c r="E194" s="16" t="s">
        <v>57</v>
      </c>
      <c r="F194" s="16" t="s">
        <v>58</v>
      </c>
      <c r="G194" s="16" t="s">
        <v>63</v>
      </c>
      <c r="H194" s="16" t="s">
        <v>30</v>
      </c>
      <c r="I194" s="16" t="s">
        <v>53</v>
      </c>
      <c r="J194" s="16" t="s">
        <v>64</v>
      </c>
      <c r="K194" s="17">
        <v>9</v>
      </c>
      <c r="L194" s="18">
        <v>9410.2800000000007</v>
      </c>
      <c r="M194" s="18">
        <v>84692.52</v>
      </c>
      <c r="N194" s="18">
        <v>54185.85</v>
      </c>
      <c r="O194" s="19">
        <v>30506.67</v>
      </c>
    </row>
    <row r="195" spans="1:15" x14ac:dyDescent="0.3">
      <c r="A195" s="20" t="s">
        <v>270</v>
      </c>
      <c r="B195" s="21">
        <v>45880</v>
      </c>
      <c r="C195" s="22" t="s">
        <v>70</v>
      </c>
      <c r="D195" s="22" t="s">
        <v>39</v>
      </c>
      <c r="E195" s="22" t="s">
        <v>40</v>
      </c>
      <c r="F195" s="22" t="s">
        <v>41</v>
      </c>
      <c r="G195" s="22" t="s">
        <v>59</v>
      </c>
      <c r="H195" s="22" t="s">
        <v>35</v>
      </c>
      <c r="I195" s="22" t="s">
        <v>31</v>
      </c>
      <c r="J195" s="22" t="s">
        <v>86</v>
      </c>
      <c r="K195" s="23">
        <v>5</v>
      </c>
      <c r="L195" s="24">
        <v>17698.98</v>
      </c>
      <c r="M195" s="24">
        <v>88494.9</v>
      </c>
      <c r="N195" s="24">
        <v>64959.25</v>
      </c>
      <c r="O195" s="25">
        <v>23535.65</v>
      </c>
    </row>
    <row r="196" spans="1:15" x14ac:dyDescent="0.3">
      <c r="A196" s="14" t="s">
        <v>271</v>
      </c>
      <c r="B196" s="15">
        <v>45828</v>
      </c>
      <c r="C196" s="16" t="s">
        <v>16</v>
      </c>
      <c r="D196" s="16" t="s">
        <v>39</v>
      </c>
      <c r="E196" s="16" t="s">
        <v>71</v>
      </c>
      <c r="F196" s="16" t="s">
        <v>72</v>
      </c>
      <c r="G196" s="16" t="s">
        <v>63</v>
      </c>
      <c r="H196" s="16" t="s">
        <v>21</v>
      </c>
      <c r="I196" s="16" t="s">
        <v>22</v>
      </c>
      <c r="J196" s="16" t="s">
        <v>36</v>
      </c>
      <c r="K196" s="17">
        <v>2</v>
      </c>
      <c r="L196" s="18">
        <v>881.67</v>
      </c>
      <c r="M196" s="18">
        <v>1763.34</v>
      </c>
      <c r="N196" s="18">
        <v>981.7</v>
      </c>
      <c r="O196" s="19">
        <v>781.64</v>
      </c>
    </row>
    <row r="197" spans="1:15" x14ac:dyDescent="0.3">
      <c r="A197" s="20" t="s">
        <v>272</v>
      </c>
      <c r="B197" s="21">
        <v>45811</v>
      </c>
      <c r="C197" s="22" t="s">
        <v>16</v>
      </c>
      <c r="D197" s="22" t="s">
        <v>17</v>
      </c>
      <c r="E197" s="22" t="s">
        <v>92</v>
      </c>
      <c r="F197" s="22" t="s">
        <v>93</v>
      </c>
      <c r="G197" s="22" t="s">
        <v>46</v>
      </c>
      <c r="H197" s="22" t="s">
        <v>21</v>
      </c>
      <c r="I197" s="22" t="s">
        <v>53</v>
      </c>
      <c r="J197" s="22" t="s">
        <v>64</v>
      </c>
      <c r="K197" s="23">
        <v>9</v>
      </c>
      <c r="L197" s="24">
        <v>9565.56</v>
      </c>
      <c r="M197" s="24">
        <v>86090.04</v>
      </c>
      <c r="N197" s="24">
        <v>56053.35</v>
      </c>
      <c r="O197" s="25">
        <v>30036.69</v>
      </c>
    </row>
    <row r="198" spans="1:15" x14ac:dyDescent="0.3">
      <c r="A198" s="14" t="s">
        <v>273</v>
      </c>
      <c r="B198" s="15">
        <v>45683</v>
      </c>
      <c r="C198" s="16" t="s">
        <v>78</v>
      </c>
      <c r="D198" s="16" t="s">
        <v>49</v>
      </c>
      <c r="E198" s="16" t="s">
        <v>50</v>
      </c>
      <c r="F198" s="16" t="s">
        <v>51</v>
      </c>
      <c r="G198" s="16" t="s">
        <v>46</v>
      </c>
      <c r="H198" s="16" t="s">
        <v>21</v>
      </c>
      <c r="I198" s="16" t="s">
        <v>31</v>
      </c>
      <c r="J198" s="16" t="s">
        <v>32</v>
      </c>
      <c r="K198" s="17">
        <v>8</v>
      </c>
      <c r="L198" s="18">
        <v>53107.75</v>
      </c>
      <c r="M198" s="18">
        <v>424862</v>
      </c>
      <c r="N198" s="18">
        <v>333182.88</v>
      </c>
      <c r="O198" s="19">
        <v>91679.12</v>
      </c>
    </row>
    <row r="199" spans="1:15" x14ac:dyDescent="0.3">
      <c r="A199" s="20" t="s">
        <v>274</v>
      </c>
      <c r="B199" s="21">
        <v>45914</v>
      </c>
      <c r="C199" s="22" t="s">
        <v>74</v>
      </c>
      <c r="D199" s="22" t="s">
        <v>49</v>
      </c>
      <c r="E199" s="22" t="s">
        <v>66</v>
      </c>
      <c r="F199" s="22" t="s">
        <v>67</v>
      </c>
      <c r="G199" s="22" t="s">
        <v>42</v>
      </c>
      <c r="H199" s="22" t="s">
        <v>35</v>
      </c>
      <c r="I199" s="22" t="s">
        <v>22</v>
      </c>
      <c r="J199" s="22" t="s">
        <v>68</v>
      </c>
      <c r="K199" s="23">
        <v>12</v>
      </c>
      <c r="L199" s="24">
        <v>2548.62</v>
      </c>
      <c r="M199" s="24">
        <v>30583.439999999999</v>
      </c>
      <c r="N199" s="24">
        <v>18325.8</v>
      </c>
      <c r="O199" s="25">
        <v>12257.64</v>
      </c>
    </row>
    <row r="200" spans="1:15" x14ac:dyDescent="0.3">
      <c r="A200" s="14" t="s">
        <v>275</v>
      </c>
      <c r="B200" s="15">
        <v>45766</v>
      </c>
      <c r="C200" s="16" t="s">
        <v>25</v>
      </c>
      <c r="D200" s="16" t="s">
        <v>26</v>
      </c>
      <c r="E200" s="16" t="s">
        <v>57</v>
      </c>
      <c r="F200" s="16" t="s">
        <v>58</v>
      </c>
      <c r="G200" s="16" t="s">
        <v>52</v>
      </c>
      <c r="H200" s="16" t="s">
        <v>35</v>
      </c>
      <c r="I200" s="16" t="s">
        <v>31</v>
      </c>
      <c r="J200" s="16" t="s">
        <v>32</v>
      </c>
      <c r="K200" s="17">
        <v>11</v>
      </c>
      <c r="L200" s="18">
        <v>49774.13</v>
      </c>
      <c r="M200" s="18">
        <v>547515.43000000005</v>
      </c>
      <c r="N200" s="18">
        <v>430117.71</v>
      </c>
      <c r="O200" s="19">
        <v>117397.72</v>
      </c>
    </row>
    <row r="201" spans="1:15" x14ac:dyDescent="0.3">
      <c r="A201" s="20" t="s">
        <v>276</v>
      </c>
      <c r="B201" s="21">
        <v>45709</v>
      </c>
      <c r="C201" s="22" t="s">
        <v>45</v>
      </c>
      <c r="D201" s="22" t="s">
        <v>26</v>
      </c>
      <c r="E201" s="22" t="s">
        <v>27</v>
      </c>
      <c r="F201" s="22" t="s">
        <v>121</v>
      </c>
      <c r="G201" s="22" t="s">
        <v>42</v>
      </c>
      <c r="H201" s="22" t="s">
        <v>30</v>
      </c>
      <c r="I201" s="22" t="s">
        <v>22</v>
      </c>
      <c r="J201" s="22" t="s">
        <v>68</v>
      </c>
      <c r="K201" s="23">
        <v>5</v>
      </c>
      <c r="L201" s="24">
        <v>2648.42</v>
      </c>
      <c r="M201" s="24">
        <v>13242.1</v>
      </c>
      <c r="N201" s="24">
        <v>7263.6</v>
      </c>
      <c r="O201" s="25">
        <v>5978.5</v>
      </c>
    </row>
    <row r="202" spans="1:15" x14ac:dyDescent="0.3">
      <c r="A202" s="14" t="s">
        <v>277</v>
      </c>
      <c r="B202" s="15">
        <v>45675</v>
      </c>
      <c r="C202" s="16" t="s">
        <v>78</v>
      </c>
      <c r="D202" s="16" t="s">
        <v>39</v>
      </c>
      <c r="E202" s="16" t="s">
        <v>80</v>
      </c>
      <c r="F202" s="16" t="s">
        <v>81</v>
      </c>
      <c r="G202" s="16" t="s">
        <v>29</v>
      </c>
      <c r="H202" s="16" t="s">
        <v>35</v>
      </c>
      <c r="I202" s="16" t="s">
        <v>22</v>
      </c>
      <c r="J202" s="16" t="s">
        <v>68</v>
      </c>
      <c r="K202" s="17">
        <v>1</v>
      </c>
      <c r="L202" s="18">
        <v>2511.66</v>
      </c>
      <c r="M202" s="18">
        <v>2511.66</v>
      </c>
      <c r="N202" s="18">
        <v>1503.32</v>
      </c>
      <c r="O202" s="19">
        <v>1008.34</v>
      </c>
    </row>
    <row r="203" spans="1:15" x14ac:dyDescent="0.3">
      <c r="A203" s="20" t="s">
        <v>278</v>
      </c>
      <c r="B203" s="21">
        <v>45718</v>
      </c>
      <c r="C203" s="22" t="s">
        <v>38</v>
      </c>
      <c r="D203" s="22" t="s">
        <v>49</v>
      </c>
      <c r="E203" s="22" t="s">
        <v>66</v>
      </c>
      <c r="F203" s="22" t="s">
        <v>67</v>
      </c>
      <c r="G203" s="22" t="s">
        <v>29</v>
      </c>
      <c r="H203" s="22" t="s">
        <v>30</v>
      </c>
      <c r="I203" s="22" t="s">
        <v>31</v>
      </c>
      <c r="J203" s="22" t="s">
        <v>32</v>
      </c>
      <c r="K203" s="23">
        <v>11</v>
      </c>
      <c r="L203" s="24">
        <v>51379.71</v>
      </c>
      <c r="M203" s="24">
        <v>565176.81000000006</v>
      </c>
      <c r="N203" s="24">
        <v>455147.88</v>
      </c>
      <c r="O203" s="25">
        <v>110028.93</v>
      </c>
    </row>
    <row r="204" spans="1:15" x14ac:dyDescent="0.3">
      <c r="A204" s="14" t="s">
        <v>279</v>
      </c>
      <c r="B204" s="15">
        <v>45995</v>
      </c>
      <c r="C204" s="16" t="s">
        <v>48</v>
      </c>
      <c r="D204" s="16" t="s">
        <v>17</v>
      </c>
      <c r="E204" s="16" t="s">
        <v>18</v>
      </c>
      <c r="F204" s="16" t="s">
        <v>19</v>
      </c>
      <c r="G204" s="16" t="s">
        <v>29</v>
      </c>
      <c r="H204" s="16" t="s">
        <v>35</v>
      </c>
      <c r="I204" s="16" t="s">
        <v>31</v>
      </c>
      <c r="J204" s="16" t="s">
        <v>32</v>
      </c>
      <c r="K204" s="17">
        <v>11</v>
      </c>
      <c r="L204" s="18">
        <v>52043.1</v>
      </c>
      <c r="M204" s="18">
        <v>572474.1</v>
      </c>
      <c r="N204" s="18">
        <v>468849.37</v>
      </c>
      <c r="O204" s="19">
        <v>103624.73</v>
      </c>
    </row>
    <row r="205" spans="1:15" x14ac:dyDescent="0.3">
      <c r="A205" s="20" t="s">
        <v>280</v>
      </c>
      <c r="B205" s="21">
        <v>45978</v>
      </c>
      <c r="C205" s="22" t="s">
        <v>89</v>
      </c>
      <c r="D205" s="22" t="s">
        <v>26</v>
      </c>
      <c r="E205" s="22" t="s">
        <v>27</v>
      </c>
      <c r="F205" s="22" t="s">
        <v>121</v>
      </c>
      <c r="G205" s="22" t="s">
        <v>20</v>
      </c>
      <c r="H205" s="22" t="s">
        <v>21</v>
      </c>
      <c r="I205" s="22" t="s">
        <v>22</v>
      </c>
      <c r="J205" s="22" t="s">
        <v>68</v>
      </c>
      <c r="K205" s="23">
        <v>2</v>
      </c>
      <c r="L205" s="24">
        <v>2694.99</v>
      </c>
      <c r="M205" s="24">
        <v>5389.98</v>
      </c>
      <c r="N205" s="24">
        <v>3107.54</v>
      </c>
      <c r="O205" s="25">
        <v>2282.44</v>
      </c>
    </row>
    <row r="206" spans="1:15" x14ac:dyDescent="0.3">
      <c r="A206" s="14" t="s">
        <v>281</v>
      </c>
      <c r="B206" s="15">
        <v>45769</v>
      </c>
      <c r="C206" s="16" t="s">
        <v>25</v>
      </c>
      <c r="D206" s="16" t="s">
        <v>26</v>
      </c>
      <c r="E206" s="16" t="s">
        <v>27</v>
      </c>
      <c r="F206" s="16" t="s">
        <v>28</v>
      </c>
      <c r="G206" s="16" t="s">
        <v>52</v>
      </c>
      <c r="H206" s="16" t="s">
        <v>21</v>
      </c>
      <c r="I206" s="16" t="s">
        <v>53</v>
      </c>
      <c r="J206" s="16" t="s">
        <v>64</v>
      </c>
      <c r="K206" s="17">
        <v>10</v>
      </c>
      <c r="L206" s="18">
        <v>8697.07</v>
      </c>
      <c r="M206" s="18">
        <v>86970.7</v>
      </c>
      <c r="N206" s="18">
        <v>63448.1</v>
      </c>
      <c r="O206" s="19">
        <v>23522.6</v>
      </c>
    </row>
    <row r="207" spans="1:15" x14ac:dyDescent="0.3">
      <c r="A207" s="20" t="s">
        <v>282</v>
      </c>
      <c r="B207" s="21">
        <v>45753</v>
      </c>
      <c r="C207" s="22" t="s">
        <v>25</v>
      </c>
      <c r="D207" s="22" t="s">
        <v>26</v>
      </c>
      <c r="E207" s="22" t="s">
        <v>27</v>
      </c>
      <c r="F207" s="22" t="s">
        <v>121</v>
      </c>
      <c r="G207" s="22" t="s">
        <v>42</v>
      </c>
      <c r="H207" s="22" t="s">
        <v>35</v>
      </c>
      <c r="I207" s="22" t="s">
        <v>31</v>
      </c>
      <c r="J207" s="22" t="s">
        <v>86</v>
      </c>
      <c r="K207" s="23">
        <v>11</v>
      </c>
      <c r="L207" s="24">
        <v>18245.22</v>
      </c>
      <c r="M207" s="24">
        <v>200697.42</v>
      </c>
      <c r="N207" s="24">
        <v>142972.82999999999</v>
      </c>
      <c r="O207" s="25">
        <v>57724.59</v>
      </c>
    </row>
    <row r="208" spans="1:15" x14ac:dyDescent="0.3">
      <c r="A208" s="14" t="s">
        <v>283</v>
      </c>
      <c r="B208" s="15">
        <v>46000</v>
      </c>
      <c r="C208" s="16" t="s">
        <v>48</v>
      </c>
      <c r="D208" s="16" t="s">
        <v>39</v>
      </c>
      <c r="E208" s="16" t="s">
        <v>80</v>
      </c>
      <c r="F208" s="16" t="s">
        <v>81</v>
      </c>
      <c r="G208" s="16" t="s">
        <v>20</v>
      </c>
      <c r="H208" s="16" t="s">
        <v>21</v>
      </c>
      <c r="I208" s="16" t="s">
        <v>31</v>
      </c>
      <c r="J208" s="16" t="s">
        <v>32</v>
      </c>
      <c r="K208" s="17">
        <v>11</v>
      </c>
      <c r="L208" s="18">
        <v>53715.79</v>
      </c>
      <c r="M208" s="18">
        <v>590873.68999999994</v>
      </c>
      <c r="N208" s="18">
        <v>456331.92</v>
      </c>
      <c r="O208" s="19">
        <v>134541.76999999999</v>
      </c>
    </row>
    <row r="209" spans="1:15" x14ac:dyDescent="0.3">
      <c r="A209" s="20" t="s">
        <v>284</v>
      </c>
      <c r="B209" s="21">
        <v>45857</v>
      </c>
      <c r="C209" s="22" t="s">
        <v>100</v>
      </c>
      <c r="D209" s="22" t="s">
        <v>39</v>
      </c>
      <c r="E209" s="22" t="s">
        <v>40</v>
      </c>
      <c r="F209" s="22" t="s">
        <v>41</v>
      </c>
      <c r="G209" s="22" t="s">
        <v>42</v>
      </c>
      <c r="H209" s="22" t="s">
        <v>30</v>
      </c>
      <c r="I209" s="22" t="s">
        <v>22</v>
      </c>
      <c r="J209" s="22" t="s">
        <v>23</v>
      </c>
      <c r="K209" s="23">
        <v>6</v>
      </c>
      <c r="L209" s="24">
        <v>1182.1600000000001</v>
      </c>
      <c r="M209" s="24">
        <v>7092.96</v>
      </c>
      <c r="N209" s="24">
        <v>4231.5</v>
      </c>
      <c r="O209" s="25">
        <v>2861.46</v>
      </c>
    </row>
    <row r="210" spans="1:15" x14ac:dyDescent="0.3">
      <c r="A210" s="14" t="s">
        <v>285</v>
      </c>
      <c r="B210" s="15">
        <v>45882</v>
      </c>
      <c r="C210" s="16" t="s">
        <v>70</v>
      </c>
      <c r="D210" s="16" t="s">
        <v>49</v>
      </c>
      <c r="E210" s="16" t="s">
        <v>66</v>
      </c>
      <c r="F210" s="16" t="s">
        <v>67</v>
      </c>
      <c r="G210" s="16" t="s">
        <v>42</v>
      </c>
      <c r="H210" s="16" t="s">
        <v>21</v>
      </c>
      <c r="I210" s="16" t="s">
        <v>31</v>
      </c>
      <c r="J210" s="16" t="s">
        <v>86</v>
      </c>
      <c r="K210" s="17">
        <v>11</v>
      </c>
      <c r="L210" s="18">
        <v>17182.87</v>
      </c>
      <c r="M210" s="18">
        <v>189011.57</v>
      </c>
      <c r="N210" s="18">
        <v>147316.4</v>
      </c>
      <c r="O210" s="19">
        <v>41695.17</v>
      </c>
    </row>
    <row r="211" spans="1:15" x14ac:dyDescent="0.3">
      <c r="A211" s="20" t="s">
        <v>286</v>
      </c>
      <c r="B211" s="21">
        <v>45902</v>
      </c>
      <c r="C211" s="22" t="s">
        <v>74</v>
      </c>
      <c r="D211" s="22" t="s">
        <v>49</v>
      </c>
      <c r="E211" s="22" t="s">
        <v>50</v>
      </c>
      <c r="F211" s="22" t="s">
        <v>51</v>
      </c>
      <c r="G211" s="22" t="s">
        <v>59</v>
      </c>
      <c r="H211" s="22" t="s">
        <v>35</v>
      </c>
      <c r="I211" s="22" t="s">
        <v>53</v>
      </c>
      <c r="J211" s="22" t="s">
        <v>54</v>
      </c>
      <c r="K211" s="23">
        <v>5</v>
      </c>
      <c r="L211" s="24">
        <v>10330.049999999999</v>
      </c>
      <c r="M211" s="24">
        <v>51650.25</v>
      </c>
      <c r="N211" s="24">
        <v>39801</v>
      </c>
      <c r="O211" s="25">
        <v>11849.25</v>
      </c>
    </row>
    <row r="212" spans="1:15" x14ac:dyDescent="0.3">
      <c r="A212" s="14" t="s">
        <v>287</v>
      </c>
      <c r="B212" s="15">
        <v>46018</v>
      </c>
      <c r="C212" s="16" t="s">
        <v>48</v>
      </c>
      <c r="D212" s="16" t="s">
        <v>39</v>
      </c>
      <c r="E212" s="16" t="s">
        <v>71</v>
      </c>
      <c r="F212" s="16" t="s">
        <v>72</v>
      </c>
      <c r="G212" s="16" t="s">
        <v>20</v>
      </c>
      <c r="H212" s="16" t="s">
        <v>21</v>
      </c>
      <c r="I212" s="16" t="s">
        <v>22</v>
      </c>
      <c r="J212" s="16" t="s">
        <v>36</v>
      </c>
      <c r="K212" s="17">
        <v>10</v>
      </c>
      <c r="L212" s="18">
        <v>894.86</v>
      </c>
      <c r="M212" s="18">
        <v>8948.6</v>
      </c>
      <c r="N212" s="18">
        <v>5194.1000000000004</v>
      </c>
      <c r="O212" s="19">
        <v>3754.5</v>
      </c>
    </row>
    <row r="213" spans="1:15" x14ac:dyDescent="0.3">
      <c r="A213" s="20" t="s">
        <v>288</v>
      </c>
      <c r="B213" s="21">
        <v>45850</v>
      </c>
      <c r="C213" s="22" t="s">
        <v>100</v>
      </c>
      <c r="D213" s="22" t="s">
        <v>49</v>
      </c>
      <c r="E213" s="22" t="s">
        <v>66</v>
      </c>
      <c r="F213" s="22" t="s">
        <v>67</v>
      </c>
      <c r="G213" s="22" t="s">
        <v>29</v>
      </c>
      <c r="H213" s="22" t="s">
        <v>35</v>
      </c>
      <c r="I213" s="22" t="s">
        <v>31</v>
      </c>
      <c r="J213" s="22" t="s">
        <v>86</v>
      </c>
      <c r="K213" s="23">
        <v>5</v>
      </c>
      <c r="L213" s="24">
        <v>18599.099999999999</v>
      </c>
      <c r="M213" s="24">
        <v>92995.5</v>
      </c>
      <c r="N213" s="24">
        <v>63839.9</v>
      </c>
      <c r="O213" s="25">
        <v>29155.599999999999</v>
      </c>
    </row>
    <row r="214" spans="1:15" x14ac:dyDescent="0.3">
      <c r="A214" s="14" t="s">
        <v>289</v>
      </c>
      <c r="B214" s="15">
        <v>45795</v>
      </c>
      <c r="C214" s="16" t="s">
        <v>56</v>
      </c>
      <c r="D214" s="16" t="s">
        <v>49</v>
      </c>
      <c r="E214" s="16" t="s">
        <v>83</v>
      </c>
      <c r="F214" s="16" t="s">
        <v>84</v>
      </c>
      <c r="G214" s="16" t="s">
        <v>20</v>
      </c>
      <c r="H214" s="16" t="s">
        <v>30</v>
      </c>
      <c r="I214" s="16" t="s">
        <v>31</v>
      </c>
      <c r="J214" s="16" t="s">
        <v>43</v>
      </c>
      <c r="K214" s="17">
        <v>3</v>
      </c>
      <c r="L214" s="18">
        <v>11652.93</v>
      </c>
      <c r="M214" s="18">
        <v>34958.79</v>
      </c>
      <c r="N214" s="18">
        <v>24842.85</v>
      </c>
      <c r="O214" s="19">
        <v>10115.94</v>
      </c>
    </row>
    <row r="215" spans="1:15" x14ac:dyDescent="0.3">
      <c r="A215" s="20" t="s">
        <v>290</v>
      </c>
      <c r="B215" s="21">
        <v>45938</v>
      </c>
      <c r="C215" s="22" t="s">
        <v>34</v>
      </c>
      <c r="D215" s="22" t="s">
        <v>49</v>
      </c>
      <c r="E215" s="22" t="s">
        <v>50</v>
      </c>
      <c r="F215" s="22" t="s">
        <v>51</v>
      </c>
      <c r="G215" s="22" t="s">
        <v>46</v>
      </c>
      <c r="H215" s="22" t="s">
        <v>35</v>
      </c>
      <c r="I215" s="22" t="s">
        <v>22</v>
      </c>
      <c r="J215" s="22" t="s">
        <v>36</v>
      </c>
      <c r="K215" s="23">
        <v>7</v>
      </c>
      <c r="L215" s="24">
        <v>864.06</v>
      </c>
      <c r="M215" s="24">
        <v>6048.42</v>
      </c>
      <c r="N215" s="24">
        <v>3587.57</v>
      </c>
      <c r="O215" s="25">
        <v>2460.85</v>
      </c>
    </row>
    <row r="216" spans="1:15" x14ac:dyDescent="0.3">
      <c r="A216" s="14" t="s">
        <v>291</v>
      </c>
      <c r="B216" s="15">
        <v>45777</v>
      </c>
      <c r="C216" s="16" t="s">
        <v>25</v>
      </c>
      <c r="D216" s="16" t="s">
        <v>39</v>
      </c>
      <c r="E216" s="16" t="s">
        <v>71</v>
      </c>
      <c r="F216" s="16" t="s">
        <v>72</v>
      </c>
      <c r="G216" s="16" t="s">
        <v>20</v>
      </c>
      <c r="H216" s="16" t="s">
        <v>35</v>
      </c>
      <c r="I216" s="16" t="s">
        <v>53</v>
      </c>
      <c r="J216" s="16" t="s">
        <v>54</v>
      </c>
      <c r="K216" s="17">
        <v>12</v>
      </c>
      <c r="L216" s="18">
        <v>10570.87</v>
      </c>
      <c r="M216" s="18">
        <v>126850.44</v>
      </c>
      <c r="N216" s="18">
        <v>88963.199999999997</v>
      </c>
      <c r="O216" s="19">
        <v>37887.24</v>
      </c>
    </row>
    <row r="217" spans="1:15" x14ac:dyDescent="0.3">
      <c r="A217" s="20" t="s">
        <v>292</v>
      </c>
      <c r="B217" s="21">
        <v>45662</v>
      </c>
      <c r="C217" s="22" t="s">
        <v>78</v>
      </c>
      <c r="D217" s="22" t="s">
        <v>49</v>
      </c>
      <c r="E217" s="22" t="s">
        <v>50</v>
      </c>
      <c r="F217" s="22" t="s">
        <v>51</v>
      </c>
      <c r="G217" s="22" t="s">
        <v>46</v>
      </c>
      <c r="H217" s="22" t="s">
        <v>35</v>
      </c>
      <c r="I217" s="22" t="s">
        <v>53</v>
      </c>
      <c r="J217" s="22" t="s">
        <v>61</v>
      </c>
      <c r="K217" s="23">
        <v>4</v>
      </c>
      <c r="L217" s="24">
        <v>6433.23</v>
      </c>
      <c r="M217" s="24">
        <v>25732.92</v>
      </c>
      <c r="N217" s="24">
        <v>16835.36</v>
      </c>
      <c r="O217" s="25">
        <v>8897.56</v>
      </c>
    </row>
    <row r="218" spans="1:15" x14ac:dyDescent="0.3">
      <c r="A218" s="14" t="s">
        <v>293</v>
      </c>
      <c r="B218" s="15">
        <v>45790</v>
      </c>
      <c r="C218" s="16" t="s">
        <v>56</v>
      </c>
      <c r="D218" s="16" t="s">
        <v>39</v>
      </c>
      <c r="E218" s="16" t="s">
        <v>40</v>
      </c>
      <c r="F218" s="16" t="s">
        <v>41</v>
      </c>
      <c r="G218" s="16" t="s">
        <v>85</v>
      </c>
      <c r="H218" s="16" t="s">
        <v>21</v>
      </c>
      <c r="I218" s="16" t="s">
        <v>31</v>
      </c>
      <c r="J218" s="16" t="s">
        <v>32</v>
      </c>
      <c r="K218" s="17">
        <v>2</v>
      </c>
      <c r="L218" s="18">
        <v>49769.41</v>
      </c>
      <c r="M218" s="18">
        <v>99538.82</v>
      </c>
      <c r="N218" s="18">
        <v>83648.72</v>
      </c>
      <c r="O218" s="19">
        <v>15890.1</v>
      </c>
    </row>
    <row r="219" spans="1:15" x14ac:dyDescent="0.3">
      <c r="A219" s="20" t="s">
        <v>294</v>
      </c>
      <c r="B219" s="21">
        <v>45843</v>
      </c>
      <c r="C219" s="22" t="s">
        <v>100</v>
      </c>
      <c r="D219" s="22" t="s">
        <v>39</v>
      </c>
      <c r="E219" s="22" t="s">
        <v>40</v>
      </c>
      <c r="F219" s="22" t="s">
        <v>41</v>
      </c>
      <c r="G219" s="22" t="s">
        <v>42</v>
      </c>
      <c r="H219" s="22" t="s">
        <v>21</v>
      </c>
      <c r="I219" s="22" t="s">
        <v>31</v>
      </c>
      <c r="J219" s="22" t="s">
        <v>86</v>
      </c>
      <c r="K219" s="23">
        <v>6</v>
      </c>
      <c r="L219" s="24">
        <v>19079.2</v>
      </c>
      <c r="M219" s="24">
        <v>114475.2</v>
      </c>
      <c r="N219" s="24">
        <v>76999.02</v>
      </c>
      <c r="O219" s="25">
        <v>37476.18</v>
      </c>
    </row>
    <row r="220" spans="1:15" x14ac:dyDescent="0.3">
      <c r="A220" s="14" t="s">
        <v>295</v>
      </c>
      <c r="B220" s="15">
        <v>45895</v>
      </c>
      <c r="C220" s="16" t="s">
        <v>70</v>
      </c>
      <c r="D220" s="16" t="s">
        <v>26</v>
      </c>
      <c r="E220" s="16" t="s">
        <v>27</v>
      </c>
      <c r="F220" s="16" t="s">
        <v>28</v>
      </c>
      <c r="G220" s="16" t="s">
        <v>63</v>
      </c>
      <c r="H220" s="16" t="s">
        <v>35</v>
      </c>
      <c r="I220" s="16" t="s">
        <v>31</v>
      </c>
      <c r="J220" s="16" t="s">
        <v>86</v>
      </c>
      <c r="K220" s="17">
        <v>5</v>
      </c>
      <c r="L220" s="18">
        <v>18142.53</v>
      </c>
      <c r="M220" s="18">
        <v>90712.65</v>
      </c>
      <c r="N220" s="18">
        <v>61883.7</v>
      </c>
      <c r="O220" s="19">
        <v>28828.95</v>
      </c>
    </row>
    <row r="221" spans="1:15" x14ac:dyDescent="0.3">
      <c r="A221" s="20" t="s">
        <v>296</v>
      </c>
      <c r="B221" s="21">
        <v>45675</v>
      </c>
      <c r="C221" s="22" t="s">
        <v>78</v>
      </c>
      <c r="D221" s="22" t="s">
        <v>17</v>
      </c>
      <c r="E221" s="22" t="s">
        <v>92</v>
      </c>
      <c r="F221" s="22" t="s">
        <v>93</v>
      </c>
      <c r="G221" s="22" t="s">
        <v>52</v>
      </c>
      <c r="H221" s="22" t="s">
        <v>35</v>
      </c>
      <c r="I221" s="22" t="s">
        <v>22</v>
      </c>
      <c r="J221" s="22" t="s">
        <v>23</v>
      </c>
      <c r="K221" s="23">
        <v>5</v>
      </c>
      <c r="L221" s="24">
        <v>1282.5899999999999</v>
      </c>
      <c r="M221" s="24">
        <v>6412.95</v>
      </c>
      <c r="N221" s="24">
        <v>3422.95</v>
      </c>
      <c r="O221" s="25">
        <v>2990</v>
      </c>
    </row>
    <row r="222" spans="1:15" x14ac:dyDescent="0.3">
      <c r="A222" s="14" t="s">
        <v>297</v>
      </c>
      <c r="B222" s="15">
        <v>45707</v>
      </c>
      <c r="C222" s="16" t="s">
        <v>45</v>
      </c>
      <c r="D222" s="16" t="s">
        <v>49</v>
      </c>
      <c r="E222" s="16" t="s">
        <v>66</v>
      </c>
      <c r="F222" s="16" t="s">
        <v>67</v>
      </c>
      <c r="G222" s="16" t="s">
        <v>42</v>
      </c>
      <c r="H222" s="16" t="s">
        <v>30</v>
      </c>
      <c r="I222" s="16" t="s">
        <v>31</v>
      </c>
      <c r="J222" s="16" t="s">
        <v>86</v>
      </c>
      <c r="K222" s="17">
        <v>4</v>
      </c>
      <c r="L222" s="18">
        <v>19425.46</v>
      </c>
      <c r="M222" s="18">
        <v>77701.84</v>
      </c>
      <c r="N222" s="18">
        <v>51366.64</v>
      </c>
      <c r="O222" s="19">
        <v>26335.200000000001</v>
      </c>
    </row>
    <row r="223" spans="1:15" x14ac:dyDescent="0.3">
      <c r="A223" s="20" t="s">
        <v>298</v>
      </c>
      <c r="B223" s="21">
        <v>45672</v>
      </c>
      <c r="C223" s="22" t="s">
        <v>78</v>
      </c>
      <c r="D223" s="22" t="s">
        <v>26</v>
      </c>
      <c r="E223" s="22" t="s">
        <v>27</v>
      </c>
      <c r="F223" s="22" t="s">
        <v>28</v>
      </c>
      <c r="G223" s="22" t="s">
        <v>63</v>
      </c>
      <c r="H223" s="22" t="s">
        <v>35</v>
      </c>
      <c r="I223" s="22" t="s">
        <v>53</v>
      </c>
      <c r="J223" s="22" t="s">
        <v>54</v>
      </c>
      <c r="K223" s="23">
        <v>2</v>
      </c>
      <c r="L223" s="24">
        <v>11653.9</v>
      </c>
      <c r="M223" s="24">
        <v>23307.8</v>
      </c>
      <c r="N223" s="24">
        <v>15412.56</v>
      </c>
      <c r="O223" s="25">
        <v>7895.24</v>
      </c>
    </row>
    <row r="224" spans="1:15" x14ac:dyDescent="0.3">
      <c r="A224" s="14" t="s">
        <v>299</v>
      </c>
      <c r="B224" s="15">
        <v>45719</v>
      </c>
      <c r="C224" s="16" t="s">
        <v>38</v>
      </c>
      <c r="D224" s="16" t="s">
        <v>26</v>
      </c>
      <c r="E224" s="16" t="s">
        <v>27</v>
      </c>
      <c r="F224" s="16" t="s">
        <v>121</v>
      </c>
      <c r="G224" s="16" t="s">
        <v>63</v>
      </c>
      <c r="H224" s="16" t="s">
        <v>35</v>
      </c>
      <c r="I224" s="16" t="s">
        <v>31</v>
      </c>
      <c r="J224" s="16" t="s">
        <v>43</v>
      </c>
      <c r="K224" s="17">
        <v>2</v>
      </c>
      <c r="L224" s="18">
        <v>12881.56</v>
      </c>
      <c r="M224" s="18">
        <v>25763.119999999999</v>
      </c>
      <c r="N224" s="18">
        <v>16271.56</v>
      </c>
      <c r="O224" s="19">
        <v>9491.56</v>
      </c>
    </row>
    <row r="225" spans="1:15" x14ac:dyDescent="0.3">
      <c r="A225" s="20" t="s">
        <v>300</v>
      </c>
      <c r="B225" s="21">
        <v>45859</v>
      </c>
      <c r="C225" s="22" t="s">
        <v>100</v>
      </c>
      <c r="D225" s="22" t="s">
        <v>17</v>
      </c>
      <c r="E225" s="22" t="s">
        <v>18</v>
      </c>
      <c r="F225" s="22" t="s">
        <v>19</v>
      </c>
      <c r="G225" s="22" t="s">
        <v>42</v>
      </c>
      <c r="H225" s="22" t="s">
        <v>30</v>
      </c>
      <c r="I225" s="22" t="s">
        <v>31</v>
      </c>
      <c r="J225" s="22" t="s">
        <v>43</v>
      </c>
      <c r="K225" s="23">
        <v>4</v>
      </c>
      <c r="L225" s="24">
        <v>11469.82</v>
      </c>
      <c r="M225" s="24">
        <v>45879.28</v>
      </c>
      <c r="N225" s="24">
        <v>33413.480000000003</v>
      </c>
      <c r="O225" s="25">
        <v>12465.8</v>
      </c>
    </row>
    <row r="226" spans="1:15" x14ac:dyDescent="0.3">
      <c r="A226" s="14" t="s">
        <v>301</v>
      </c>
      <c r="B226" s="15">
        <v>45838</v>
      </c>
      <c r="C226" s="16" t="s">
        <v>16</v>
      </c>
      <c r="D226" s="16" t="s">
        <v>26</v>
      </c>
      <c r="E226" s="16" t="s">
        <v>57</v>
      </c>
      <c r="F226" s="16" t="s">
        <v>58</v>
      </c>
      <c r="G226" s="16" t="s">
        <v>20</v>
      </c>
      <c r="H226" s="16" t="s">
        <v>21</v>
      </c>
      <c r="I226" s="16" t="s">
        <v>53</v>
      </c>
      <c r="J226" s="16" t="s">
        <v>64</v>
      </c>
      <c r="K226" s="17">
        <v>12</v>
      </c>
      <c r="L226" s="18">
        <v>9368.42</v>
      </c>
      <c r="M226" s="18">
        <v>112421.04</v>
      </c>
      <c r="N226" s="18">
        <v>76346.64</v>
      </c>
      <c r="O226" s="19">
        <v>36074.400000000001</v>
      </c>
    </row>
    <row r="227" spans="1:15" x14ac:dyDescent="0.3">
      <c r="A227" s="20" t="s">
        <v>302</v>
      </c>
      <c r="B227" s="21">
        <v>45905</v>
      </c>
      <c r="C227" s="22" t="s">
        <v>74</v>
      </c>
      <c r="D227" s="22" t="s">
        <v>26</v>
      </c>
      <c r="E227" s="22" t="s">
        <v>27</v>
      </c>
      <c r="F227" s="22" t="s">
        <v>28</v>
      </c>
      <c r="G227" s="22" t="s">
        <v>42</v>
      </c>
      <c r="H227" s="22" t="s">
        <v>30</v>
      </c>
      <c r="I227" s="22" t="s">
        <v>31</v>
      </c>
      <c r="J227" s="22" t="s">
        <v>32</v>
      </c>
      <c r="K227" s="23">
        <v>11</v>
      </c>
      <c r="L227" s="24">
        <v>54196.14</v>
      </c>
      <c r="M227" s="24">
        <v>596157.54</v>
      </c>
      <c r="N227" s="24">
        <v>455049.32</v>
      </c>
      <c r="O227" s="25">
        <v>141108.22</v>
      </c>
    </row>
    <row r="228" spans="1:15" x14ac:dyDescent="0.3">
      <c r="A228" s="14" t="s">
        <v>303</v>
      </c>
      <c r="B228" s="15">
        <v>45883</v>
      </c>
      <c r="C228" s="16" t="s">
        <v>70</v>
      </c>
      <c r="D228" s="16" t="s">
        <v>26</v>
      </c>
      <c r="E228" s="16" t="s">
        <v>27</v>
      </c>
      <c r="F228" s="16" t="s">
        <v>121</v>
      </c>
      <c r="G228" s="16" t="s">
        <v>63</v>
      </c>
      <c r="H228" s="16" t="s">
        <v>30</v>
      </c>
      <c r="I228" s="16" t="s">
        <v>53</v>
      </c>
      <c r="J228" s="16" t="s">
        <v>54</v>
      </c>
      <c r="K228" s="17">
        <v>2</v>
      </c>
      <c r="L228" s="18">
        <v>10848.72</v>
      </c>
      <c r="M228" s="18">
        <v>21697.439999999999</v>
      </c>
      <c r="N228" s="18">
        <v>15017.06</v>
      </c>
      <c r="O228" s="19">
        <v>6680.38</v>
      </c>
    </row>
    <row r="229" spans="1:15" x14ac:dyDescent="0.3">
      <c r="A229" s="20" t="s">
        <v>304</v>
      </c>
      <c r="B229" s="21">
        <v>45883</v>
      </c>
      <c r="C229" s="22" t="s">
        <v>70</v>
      </c>
      <c r="D229" s="22" t="s">
        <v>17</v>
      </c>
      <c r="E229" s="22" t="s">
        <v>116</v>
      </c>
      <c r="F229" s="22" t="s">
        <v>117</v>
      </c>
      <c r="G229" s="22" t="s">
        <v>20</v>
      </c>
      <c r="H229" s="22" t="s">
        <v>30</v>
      </c>
      <c r="I229" s="22" t="s">
        <v>22</v>
      </c>
      <c r="J229" s="22" t="s">
        <v>23</v>
      </c>
      <c r="K229" s="23">
        <v>1</v>
      </c>
      <c r="L229" s="24">
        <v>1144.25</v>
      </c>
      <c r="M229" s="24">
        <v>1144.25</v>
      </c>
      <c r="N229" s="24">
        <v>723.3</v>
      </c>
      <c r="O229" s="25">
        <v>420.95</v>
      </c>
    </row>
    <row r="230" spans="1:15" x14ac:dyDescent="0.3">
      <c r="A230" s="14" t="s">
        <v>305</v>
      </c>
      <c r="B230" s="15">
        <v>45697</v>
      </c>
      <c r="C230" s="16" t="s">
        <v>45</v>
      </c>
      <c r="D230" s="16" t="s">
        <v>39</v>
      </c>
      <c r="E230" s="16" t="s">
        <v>71</v>
      </c>
      <c r="F230" s="16" t="s">
        <v>72</v>
      </c>
      <c r="G230" s="16" t="s">
        <v>42</v>
      </c>
      <c r="H230" s="16" t="s">
        <v>30</v>
      </c>
      <c r="I230" s="16" t="s">
        <v>31</v>
      </c>
      <c r="J230" s="16" t="s">
        <v>86</v>
      </c>
      <c r="K230" s="17">
        <v>1</v>
      </c>
      <c r="L230" s="18">
        <v>18436.599999999999</v>
      </c>
      <c r="M230" s="18">
        <v>18436.599999999999</v>
      </c>
      <c r="N230" s="18">
        <v>12938.03</v>
      </c>
      <c r="O230" s="19">
        <v>5498.57</v>
      </c>
    </row>
    <row r="231" spans="1:15" x14ac:dyDescent="0.3">
      <c r="A231" s="20" t="s">
        <v>306</v>
      </c>
      <c r="B231" s="21">
        <v>45831</v>
      </c>
      <c r="C231" s="22" t="s">
        <v>16</v>
      </c>
      <c r="D231" s="22" t="s">
        <v>39</v>
      </c>
      <c r="E231" s="22" t="s">
        <v>80</v>
      </c>
      <c r="F231" s="22" t="s">
        <v>81</v>
      </c>
      <c r="G231" s="22" t="s">
        <v>52</v>
      </c>
      <c r="H231" s="22" t="s">
        <v>21</v>
      </c>
      <c r="I231" s="22" t="s">
        <v>22</v>
      </c>
      <c r="J231" s="22" t="s">
        <v>36</v>
      </c>
      <c r="K231" s="23">
        <v>3</v>
      </c>
      <c r="L231" s="24">
        <v>881.82</v>
      </c>
      <c r="M231" s="24">
        <v>2645.46</v>
      </c>
      <c r="N231" s="24">
        <v>1535.4</v>
      </c>
      <c r="O231" s="25">
        <v>1110.06</v>
      </c>
    </row>
    <row r="232" spans="1:15" x14ac:dyDescent="0.3">
      <c r="A232" s="14" t="s">
        <v>307</v>
      </c>
      <c r="B232" s="15">
        <v>45750</v>
      </c>
      <c r="C232" s="16" t="s">
        <v>25</v>
      </c>
      <c r="D232" s="16" t="s">
        <v>49</v>
      </c>
      <c r="E232" s="16" t="s">
        <v>66</v>
      </c>
      <c r="F232" s="16" t="s">
        <v>67</v>
      </c>
      <c r="G232" s="16" t="s">
        <v>42</v>
      </c>
      <c r="H232" s="16" t="s">
        <v>30</v>
      </c>
      <c r="I232" s="16" t="s">
        <v>31</v>
      </c>
      <c r="J232" s="16" t="s">
        <v>86</v>
      </c>
      <c r="K232" s="17">
        <v>7</v>
      </c>
      <c r="L232" s="18">
        <v>17851.810000000001</v>
      </c>
      <c r="M232" s="18">
        <v>124962.67</v>
      </c>
      <c r="N232" s="18">
        <v>87866.73</v>
      </c>
      <c r="O232" s="19">
        <v>37095.94</v>
      </c>
    </row>
    <row r="233" spans="1:15" x14ac:dyDescent="0.3">
      <c r="A233" s="20" t="s">
        <v>308</v>
      </c>
      <c r="B233" s="21">
        <v>45796</v>
      </c>
      <c r="C233" s="22" t="s">
        <v>56</v>
      </c>
      <c r="D233" s="22" t="s">
        <v>39</v>
      </c>
      <c r="E233" s="22" t="s">
        <v>40</v>
      </c>
      <c r="F233" s="22" t="s">
        <v>41</v>
      </c>
      <c r="G233" s="22" t="s">
        <v>42</v>
      </c>
      <c r="H233" s="22" t="s">
        <v>30</v>
      </c>
      <c r="I233" s="22" t="s">
        <v>53</v>
      </c>
      <c r="J233" s="22" t="s">
        <v>61</v>
      </c>
      <c r="K233" s="23">
        <v>6</v>
      </c>
      <c r="L233" s="24">
        <v>6489.78</v>
      </c>
      <c r="M233" s="24">
        <v>38938.68</v>
      </c>
      <c r="N233" s="24">
        <v>25155.72</v>
      </c>
      <c r="O233" s="25">
        <v>13782.96</v>
      </c>
    </row>
    <row r="234" spans="1:15" x14ac:dyDescent="0.3">
      <c r="A234" s="14" t="s">
        <v>309</v>
      </c>
      <c r="B234" s="15">
        <v>45736</v>
      </c>
      <c r="C234" s="16" t="s">
        <v>38</v>
      </c>
      <c r="D234" s="16" t="s">
        <v>26</v>
      </c>
      <c r="E234" s="16" t="s">
        <v>57</v>
      </c>
      <c r="F234" s="16" t="s">
        <v>58</v>
      </c>
      <c r="G234" s="16" t="s">
        <v>85</v>
      </c>
      <c r="H234" s="16" t="s">
        <v>35</v>
      </c>
      <c r="I234" s="16" t="s">
        <v>53</v>
      </c>
      <c r="J234" s="16" t="s">
        <v>54</v>
      </c>
      <c r="K234" s="17">
        <v>2</v>
      </c>
      <c r="L234" s="18">
        <v>10655.36</v>
      </c>
      <c r="M234" s="18">
        <v>21310.720000000001</v>
      </c>
      <c r="N234" s="18">
        <v>14746.46</v>
      </c>
      <c r="O234" s="19">
        <v>6564.26</v>
      </c>
    </row>
    <row r="235" spans="1:15" x14ac:dyDescent="0.3">
      <c r="A235" s="20" t="s">
        <v>310</v>
      </c>
      <c r="B235" s="21">
        <v>45844</v>
      </c>
      <c r="C235" s="22" t="s">
        <v>100</v>
      </c>
      <c r="D235" s="22" t="s">
        <v>49</v>
      </c>
      <c r="E235" s="22" t="s">
        <v>50</v>
      </c>
      <c r="F235" s="22" t="s">
        <v>51</v>
      </c>
      <c r="G235" s="22" t="s">
        <v>85</v>
      </c>
      <c r="H235" s="22" t="s">
        <v>21</v>
      </c>
      <c r="I235" s="22" t="s">
        <v>31</v>
      </c>
      <c r="J235" s="22" t="s">
        <v>86</v>
      </c>
      <c r="K235" s="23">
        <v>5</v>
      </c>
      <c r="L235" s="24">
        <v>17862.22</v>
      </c>
      <c r="M235" s="24">
        <v>89311.1</v>
      </c>
      <c r="N235" s="24">
        <v>62804.25</v>
      </c>
      <c r="O235" s="25">
        <v>26506.85</v>
      </c>
    </row>
    <row r="236" spans="1:15" x14ac:dyDescent="0.3">
      <c r="A236" s="14" t="s">
        <v>311</v>
      </c>
      <c r="B236" s="15">
        <v>45808</v>
      </c>
      <c r="C236" s="16" t="s">
        <v>56</v>
      </c>
      <c r="D236" s="16" t="s">
        <v>17</v>
      </c>
      <c r="E236" s="16" t="s">
        <v>92</v>
      </c>
      <c r="F236" s="16" t="s">
        <v>93</v>
      </c>
      <c r="G236" s="16" t="s">
        <v>20</v>
      </c>
      <c r="H236" s="16" t="s">
        <v>30</v>
      </c>
      <c r="I236" s="16" t="s">
        <v>22</v>
      </c>
      <c r="J236" s="16" t="s">
        <v>36</v>
      </c>
      <c r="K236" s="17">
        <v>9</v>
      </c>
      <c r="L236" s="18">
        <v>855.92</v>
      </c>
      <c r="M236" s="18">
        <v>7703.28</v>
      </c>
      <c r="N236" s="18">
        <v>4275.8999999999996</v>
      </c>
      <c r="O236" s="19">
        <v>3427.38</v>
      </c>
    </row>
    <row r="237" spans="1:15" x14ac:dyDescent="0.3">
      <c r="A237" s="20" t="s">
        <v>312</v>
      </c>
      <c r="B237" s="21">
        <v>45927</v>
      </c>
      <c r="C237" s="22" t="s">
        <v>74</v>
      </c>
      <c r="D237" s="22" t="s">
        <v>39</v>
      </c>
      <c r="E237" s="22" t="s">
        <v>80</v>
      </c>
      <c r="F237" s="22" t="s">
        <v>81</v>
      </c>
      <c r="G237" s="22" t="s">
        <v>63</v>
      </c>
      <c r="H237" s="22" t="s">
        <v>30</v>
      </c>
      <c r="I237" s="22" t="s">
        <v>31</v>
      </c>
      <c r="J237" s="22" t="s">
        <v>86</v>
      </c>
      <c r="K237" s="23">
        <v>4</v>
      </c>
      <c r="L237" s="24">
        <v>17487.490000000002</v>
      </c>
      <c r="M237" s="24">
        <v>69949.960000000006</v>
      </c>
      <c r="N237" s="24">
        <v>50339.56</v>
      </c>
      <c r="O237" s="25">
        <v>19610.400000000001</v>
      </c>
    </row>
    <row r="238" spans="1:15" x14ac:dyDescent="0.3">
      <c r="A238" s="14" t="s">
        <v>313</v>
      </c>
      <c r="B238" s="15">
        <v>45750</v>
      </c>
      <c r="C238" s="16" t="s">
        <v>25</v>
      </c>
      <c r="D238" s="16" t="s">
        <v>17</v>
      </c>
      <c r="E238" s="16" t="s">
        <v>92</v>
      </c>
      <c r="F238" s="16" t="s">
        <v>93</v>
      </c>
      <c r="G238" s="16" t="s">
        <v>42</v>
      </c>
      <c r="H238" s="16" t="s">
        <v>21</v>
      </c>
      <c r="I238" s="16" t="s">
        <v>22</v>
      </c>
      <c r="J238" s="16" t="s">
        <v>23</v>
      </c>
      <c r="K238" s="17">
        <v>2</v>
      </c>
      <c r="L238" s="18">
        <v>1276.08</v>
      </c>
      <c r="M238" s="18">
        <v>2552.16</v>
      </c>
      <c r="N238" s="18">
        <v>1432.32</v>
      </c>
      <c r="O238" s="19">
        <v>1119.8399999999999</v>
      </c>
    </row>
    <row r="239" spans="1:15" x14ac:dyDescent="0.3">
      <c r="A239" s="20" t="s">
        <v>314</v>
      </c>
      <c r="B239" s="21">
        <v>45798</v>
      </c>
      <c r="C239" s="22" t="s">
        <v>56</v>
      </c>
      <c r="D239" s="22" t="s">
        <v>17</v>
      </c>
      <c r="E239" s="22" t="s">
        <v>116</v>
      </c>
      <c r="F239" s="22" t="s">
        <v>117</v>
      </c>
      <c r="G239" s="22" t="s">
        <v>42</v>
      </c>
      <c r="H239" s="22" t="s">
        <v>35</v>
      </c>
      <c r="I239" s="22" t="s">
        <v>22</v>
      </c>
      <c r="J239" s="22" t="s">
        <v>68</v>
      </c>
      <c r="K239" s="23">
        <v>11</v>
      </c>
      <c r="L239" s="24">
        <v>2629.34</v>
      </c>
      <c r="M239" s="24">
        <v>28922.74</v>
      </c>
      <c r="N239" s="24">
        <v>16636.84</v>
      </c>
      <c r="O239" s="25">
        <v>12285.9</v>
      </c>
    </row>
    <row r="240" spans="1:15" x14ac:dyDescent="0.3">
      <c r="A240" s="14" t="s">
        <v>315</v>
      </c>
      <c r="B240" s="15">
        <v>45761</v>
      </c>
      <c r="C240" s="16" t="s">
        <v>25</v>
      </c>
      <c r="D240" s="16" t="s">
        <v>26</v>
      </c>
      <c r="E240" s="16" t="s">
        <v>27</v>
      </c>
      <c r="F240" s="16" t="s">
        <v>28</v>
      </c>
      <c r="G240" s="16" t="s">
        <v>29</v>
      </c>
      <c r="H240" s="16" t="s">
        <v>35</v>
      </c>
      <c r="I240" s="16" t="s">
        <v>31</v>
      </c>
      <c r="J240" s="16" t="s">
        <v>43</v>
      </c>
      <c r="K240" s="17">
        <v>6</v>
      </c>
      <c r="L240" s="18">
        <v>11763.39</v>
      </c>
      <c r="M240" s="18">
        <v>70580.34</v>
      </c>
      <c r="N240" s="18">
        <v>49641.18</v>
      </c>
      <c r="O240" s="19">
        <v>20939.16</v>
      </c>
    </row>
    <row r="241" spans="1:15" x14ac:dyDescent="0.3">
      <c r="A241" s="9" t="s">
        <v>316</v>
      </c>
      <c r="B241" s="26">
        <v>45910</v>
      </c>
      <c r="C241" s="10" t="s">
        <v>74</v>
      </c>
      <c r="D241" s="10" t="s">
        <v>26</v>
      </c>
      <c r="E241" s="10" t="s">
        <v>27</v>
      </c>
      <c r="F241" s="10" t="s">
        <v>28</v>
      </c>
      <c r="G241" s="10" t="s">
        <v>29</v>
      </c>
      <c r="H241" s="10" t="s">
        <v>30</v>
      </c>
      <c r="I241" s="10" t="s">
        <v>31</v>
      </c>
      <c r="J241" s="10" t="s">
        <v>43</v>
      </c>
      <c r="K241" s="27">
        <v>5</v>
      </c>
      <c r="L241" s="28">
        <v>11607.01</v>
      </c>
      <c r="M241" s="28">
        <v>58035.05</v>
      </c>
      <c r="N241" s="28">
        <v>40252.5</v>
      </c>
      <c r="O241" s="29">
        <v>17782.55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zoomScale="205" zoomScaleNormal="205" workbookViewId="0">
      <selection activeCell="B6" sqref="B6"/>
    </sheetView>
  </sheetViews>
  <sheetFormatPr defaultRowHeight="14.4" x14ac:dyDescent="0.3"/>
  <cols>
    <col min="1" max="1" width="8" customWidth="1"/>
    <col min="2" max="2" width="28" customWidth="1"/>
    <col min="3" max="4" width="18" customWidth="1"/>
    <col min="5" max="5" width="28" customWidth="1"/>
    <col min="6" max="6" width="20" customWidth="1"/>
  </cols>
  <sheetData>
    <row r="1" spans="1:6" ht="18" x14ac:dyDescent="0.35">
      <c r="A1" s="6" t="s">
        <v>317</v>
      </c>
      <c r="B1" s="7"/>
      <c r="C1" s="7"/>
      <c r="D1" s="7"/>
      <c r="E1" s="7"/>
      <c r="F1" s="7"/>
    </row>
    <row r="2" spans="1:6" x14ac:dyDescent="0.3">
      <c r="A2" s="3" t="s">
        <v>318</v>
      </c>
      <c r="B2" s="3" t="s">
        <v>319</v>
      </c>
      <c r="C2" s="3" t="s">
        <v>320</v>
      </c>
      <c r="D2" s="3" t="s">
        <v>321</v>
      </c>
      <c r="E2" s="3" t="s">
        <v>322</v>
      </c>
      <c r="F2" s="3" t="s">
        <v>323</v>
      </c>
    </row>
    <row r="3" spans="1:6" x14ac:dyDescent="0.3">
      <c r="A3" s="4">
        <v>1</v>
      </c>
      <c r="B3" s="4" t="s">
        <v>324</v>
      </c>
      <c r="C3" s="4" t="s">
        <v>3</v>
      </c>
      <c r="D3" s="4"/>
      <c r="E3" s="4" t="s">
        <v>325</v>
      </c>
      <c r="F3" s="4" t="s">
        <v>326</v>
      </c>
    </row>
    <row r="4" spans="1:6" x14ac:dyDescent="0.3">
      <c r="A4" s="4">
        <v>2</v>
      </c>
      <c r="B4" s="4" t="s">
        <v>327</v>
      </c>
      <c r="C4" s="4" t="s">
        <v>2</v>
      </c>
      <c r="D4" s="4"/>
      <c r="E4" s="4" t="s">
        <v>325</v>
      </c>
      <c r="F4" s="4" t="s">
        <v>328</v>
      </c>
    </row>
    <row r="5" spans="1:6" x14ac:dyDescent="0.3">
      <c r="A5" s="4">
        <v>3</v>
      </c>
      <c r="B5" s="4" t="s">
        <v>329</v>
      </c>
      <c r="C5" s="4" t="s">
        <v>8</v>
      </c>
      <c r="D5" s="4"/>
      <c r="E5" s="4" t="s">
        <v>330</v>
      </c>
      <c r="F5" s="4" t="s">
        <v>331</v>
      </c>
    </row>
    <row r="6" spans="1:6" x14ac:dyDescent="0.3">
      <c r="A6" s="4">
        <v>4</v>
      </c>
      <c r="B6" s="4" t="s">
        <v>332</v>
      </c>
      <c r="C6" s="4" t="s">
        <v>3</v>
      </c>
      <c r="D6" s="4" t="s">
        <v>8</v>
      </c>
      <c r="E6" s="4" t="s">
        <v>325</v>
      </c>
      <c r="F6" s="4" t="s">
        <v>333</v>
      </c>
    </row>
    <row r="7" spans="1:6" ht="28.8" x14ac:dyDescent="0.3">
      <c r="A7" s="4">
        <v>5</v>
      </c>
      <c r="B7" s="4" t="s">
        <v>334</v>
      </c>
      <c r="C7" s="4" t="s">
        <v>6</v>
      </c>
      <c r="D7" s="4"/>
      <c r="E7" s="4" t="s">
        <v>335</v>
      </c>
      <c r="F7" s="4" t="s">
        <v>336</v>
      </c>
    </row>
    <row r="8" spans="1:6" x14ac:dyDescent="0.3">
      <c r="A8" s="4">
        <v>6</v>
      </c>
      <c r="B8" s="4" t="s">
        <v>337</v>
      </c>
      <c r="C8" s="4" t="s">
        <v>7</v>
      </c>
      <c r="D8" s="4"/>
      <c r="E8" s="4" t="s">
        <v>338</v>
      </c>
      <c r="F8" s="4" t="s">
        <v>339</v>
      </c>
    </row>
    <row r="11" spans="1:6" x14ac:dyDescent="0.3">
      <c r="A11" s="5" t="s">
        <v>340</v>
      </c>
    </row>
    <row r="12" spans="1:6" x14ac:dyDescent="0.3">
      <c r="A12" t="s">
        <v>341</v>
      </c>
    </row>
    <row r="13" spans="1:6" x14ac:dyDescent="0.3">
      <c r="A13" t="s">
        <v>342</v>
      </c>
    </row>
    <row r="14" spans="1:6" x14ac:dyDescent="0.3">
      <c r="A14" t="s">
        <v>343</v>
      </c>
    </row>
    <row r="15" spans="1:6" x14ac:dyDescent="0.3">
      <c r="A15" t="s">
        <v>344</v>
      </c>
    </row>
  </sheetData>
  <mergeCells count="1">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workbookViewId="0">
      <selection activeCell="B8" sqref="B8"/>
    </sheetView>
  </sheetViews>
  <sheetFormatPr defaultRowHeight="14.4" x14ac:dyDescent="0.3"/>
  <cols>
    <col min="1" max="2" width="20" customWidth="1"/>
  </cols>
  <sheetData>
    <row r="1" spans="1:4" ht="17.399999999999999" x14ac:dyDescent="0.35">
      <c r="A1" s="8" t="s">
        <v>345</v>
      </c>
      <c r="B1" s="7"/>
      <c r="C1" s="7"/>
      <c r="D1" s="7"/>
    </row>
    <row r="3" spans="1:4" x14ac:dyDescent="0.3">
      <c r="A3" s="5" t="s">
        <v>346</v>
      </c>
      <c r="B3" s="5" t="s">
        <v>347</v>
      </c>
    </row>
    <row r="4" spans="1:4" x14ac:dyDescent="0.3">
      <c r="A4" t="s">
        <v>348</v>
      </c>
      <c r="B4" s="1">
        <f>COUNTA(Sales_Data!A2:A241)</f>
        <v>240</v>
      </c>
    </row>
    <row r="5" spans="1:4" x14ac:dyDescent="0.3">
      <c r="A5" t="s">
        <v>349</v>
      </c>
      <c r="B5" s="2">
        <f>SUM(Sales_Data!M2:M241)</f>
        <v>21735965.100000013</v>
      </c>
    </row>
    <row r="6" spans="1:4" x14ac:dyDescent="0.3">
      <c r="A6" t="s">
        <v>350</v>
      </c>
      <c r="B6" s="2">
        <f>SUM(Sales_Data!N2:N241)</f>
        <v>15895712.88000001</v>
      </c>
    </row>
    <row r="7" spans="1:4" x14ac:dyDescent="0.3">
      <c r="A7" t="s">
        <v>351</v>
      </c>
      <c r="B7" s="2">
        <f>SUM(Sales_Data!O2:O241)</f>
        <v>5840252.2199999979</v>
      </c>
    </row>
    <row r="8" spans="1:4" x14ac:dyDescent="0.3">
      <c r="A8" t="s">
        <v>352</v>
      </c>
      <c r="B8" s="2">
        <f>AVERAGE(Sales_Data!M2:M241)</f>
        <v>90566.521250000049</v>
      </c>
    </row>
  </sheetData>
  <mergeCells count="1">
    <mergeCell ref="A1:D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932CA4-261A-475C-9709-E358190068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Sheet1</vt:lpstr>
      <vt:lpstr>Sheet3</vt:lpstr>
      <vt:lpstr>Sheet4</vt:lpstr>
      <vt:lpstr>Sales_Data</vt:lpstr>
      <vt:lpstr>Pivot_Practice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shubham waghmare</cp:lastModifiedBy>
  <dcterms:created xsi:type="dcterms:W3CDTF">2026-03-23T10:38:28Z</dcterms:created>
  <dcterms:modified xsi:type="dcterms:W3CDTF">2026-03-23T12:25:30Z</dcterms:modified>
</cp:coreProperties>
</file>