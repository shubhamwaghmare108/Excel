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Taywade College\Excel\"/>
    </mc:Choice>
  </mc:AlternateContent>
  <xr:revisionPtr revIDLastSave="0" documentId="13_ncr:1_{37CA77EF-47C3-4461-9B27-86732A86DAC9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Employees" sheetId="1" r:id="rId1"/>
    <sheet name="Departments" sheetId="2" r:id="rId2"/>
    <sheet name="Locations" sheetId="3" r:id="rId3"/>
    <sheet name="Salary_Bands" sheetId="4" r:id="rId4"/>
    <sheet name="Ratings" sheetId="5" r:id="rId5"/>
    <sheet name="HR_Analytics" sheetId="6" r:id="rId6"/>
  </sheets>
  <definedNames>
    <definedName name="_xlcn.WorksheetConnection_hr_lookup_case_study.xlsxTable11" hidden="1">Table1[]</definedName>
    <definedName name="_xlcn.WorksheetConnection_hr_lookup_case_study.xlsxTable21" hidden="1">Table2[]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hr_lookup_case_study.xlsx!Table1"/>
          <x15:modelTable id="Table2" name="Table2" connection="WorksheetConnection_hr_lookup_case_study.xlsx!Table2"/>
        </x15:modelTables>
        <x15:modelRelationships>
          <x15:modelRelationship fromTable="Table1" fromColumn="Dept_ID" toTable="Table2" toColumn="Dep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6" l="1"/>
  <c r="K2" i="6"/>
  <c r="F2" i="6"/>
  <c r="F3" i="6"/>
  <c r="F4" i="6"/>
  <c r="G3" i="6"/>
  <c r="G4" i="6"/>
  <c r="G5" i="6"/>
  <c r="G6" i="6"/>
  <c r="G2" i="6"/>
  <c r="E3" i="6"/>
  <c r="K3" i="6" s="1"/>
  <c r="E4" i="6"/>
  <c r="K4" i="6" s="1"/>
  <c r="E5" i="6"/>
  <c r="F5" i="6" s="1"/>
  <c r="E6" i="6"/>
  <c r="F6" i="6" s="1"/>
  <c r="D3" i="6"/>
  <c r="D4" i="6"/>
  <c r="D5" i="6"/>
  <c r="D6" i="6"/>
  <c r="D2" i="6"/>
  <c r="C3" i="6"/>
  <c r="C4" i="6"/>
  <c r="C5" i="6"/>
  <c r="C6" i="6"/>
  <c r="C2" i="6"/>
  <c r="K5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66B57F-FE6F-423B-9857-429BAABA324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E4A6A5B-967B-4A09-989A-A550A2D75D9C}" name="WorksheetConnection_hr_lookup_case_study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hr_lookup_case_study.xlsxTable11"/>
        </x15:connection>
      </ext>
    </extLst>
  </connection>
  <connection id="3" xr16:uid="{7C443B85-FA18-4444-98CA-8970885A4847}" name="WorksheetConnection_hr_lookup_case_study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hr_lookup_case_study.xlsxTable21"/>
        </x15:connection>
      </ext>
    </extLst>
  </connection>
</connections>
</file>

<file path=xl/sharedStrings.xml><?xml version="1.0" encoding="utf-8"?>
<sst xmlns="http://schemas.openxmlformats.org/spreadsheetml/2006/main" count="64" uniqueCount="46">
  <si>
    <t>Emp_ID</t>
  </si>
  <si>
    <t>Name</t>
  </si>
  <si>
    <t>Dept_ID</t>
  </si>
  <si>
    <t>Location_ID</t>
  </si>
  <si>
    <t>Salary</t>
  </si>
  <si>
    <t>Join_Date</t>
  </si>
  <si>
    <t>Amit</t>
  </si>
  <si>
    <t>D01</t>
  </si>
  <si>
    <t>L01</t>
  </si>
  <si>
    <t>2021-05-10</t>
  </si>
  <si>
    <t>Neha</t>
  </si>
  <si>
    <t>D02</t>
  </si>
  <si>
    <t>L02</t>
  </si>
  <si>
    <t>2020-03-15</t>
  </si>
  <si>
    <t>Raj</t>
  </si>
  <si>
    <t>D03</t>
  </si>
  <si>
    <t>2022-01-20</t>
  </si>
  <si>
    <t>Simran</t>
  </si>
  <si>
    <t>L03</t>
  </si>
  <si>
    <t>2019-07-11</t>
  </si>
  <si>
    <t>Arjun</t>
  </si>
  <si>
    <t>D04</t>
  </si>
  <si>
    <t>2018-09-23</t>
  </si>
  <si>
    <t>Dept_Name</t>
  </si>
  <si>
    <t>HR</t>
  </si>
  <si>
    <t>Finance</t>
  </si>
  <si>
    <t>IT</t>
  </si>
  <si>
    <t>Marketing</t>
  </si>
  <si>
    <t>City</t>
  </si>
  <si>
    <t>Mumbai</t>
  </si>
  <si>
    <t>Pune</t>
  </si>
  <si>
    <t>Bangalore</t>
  </si>
  <si>
    <t>Min_Salary</t>
  </si>
  <si>
    <t>Max_Salary</t>
  </si>
  <si>
    <t>Grade</t>
  </si>
  <si>
    <t>C</t>
  </si>
  <si>
    <t>B</t>
  </si>
  <si>
    <t>A</t>
  </si>
  <si>
    <t>Rating</t>
  </si>
  <si>
    <t xml:space="preserve">Emp_ID </t>
  </si>
  <si>
    <t xml:space="preserve"> Name </t>
  </si>
  <si>
    <t xml:space="preserve"> Dept </t>
  </si>
  <si>
    <t xml:space="preserve"> City </t>
  </si>
  <si>
    <t xml:space="preserve"> Salary </t>
  </si>
  <si>
    <t xml:space="preserve"> Grade </t>
  </si>
  <si>
    <t xml:space="preserve">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</si>
</sst>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ont="1" applyFill="1" applyBorder="1"/>
    <xf numFmtId="0" fontId="0" fillId="4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0" fontId="0" fillId="3" borderId="5" xfId="0" applyFon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41F23-8015-4E11-BDE8-A98E9B7AF620}" name="Table1" displayName="Table1" ref="A1:F6" totalsRowShown="0" headerRowDxfId="1" dataDxfId="2">
  <autoFilter ref="A1:F6" xr:uid="{6E041F23-8015-4E11-BDE8-A98E9B7AF620}"/>
  <tableColumns count="6">
    <tableColumn id="1" xr3:uid="{DC0920A1-4756-4021-B2B3-A27A7EDED741}" name="Emp_ID" dataDxfId="8"/>
    <tableColumn id="2" xr3:uid="{E6147DFA-E841-433D-AF07-52AD783BDFF5}" name="Name" dataDxfId="7"/>
    <tableColumn id="3" xr3:uid="{09B24090-8E6D-4300-A26E-13B68CEB18C2}" name="Dept_ID" dataDxfId="6"/>
    <tableColumn id="4" xr3:uid="{32AFE149-2DDA-49D3-84A3-DF01BAD4ECDC}" name="Location_ID" dataDxfId="5"/>
    <tableColumn id="5" xr3:uid="{E7081108-C149-4D08-8264-29D15B729378}" name="Salary" dataDxfId="4"/>
    <tableColumn id="6" xr3:uid="{C56329AD-B962-46D3-B0D4-EA205FB41823}" name="Join_Dat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9AA5E5-0E1C-4730-A200-CF23B9314CA8}" name="Table2" displayName="Table2" ref="A1:B5" totalsRowShown="0" headerRowDxfId="0">
  <autoFilter ref="A1:B5" xr:uid="{FE9AA5E5-0E1C-4730-A200-CF23B9314CA8}"/>
  <tableColumns count="2">
    <tableColumn id="1" xr3:uid="{DE8D5C87-71EA-492E-990B-6D5D22244BDE}" name="Dept_ID"/>
    <tableColumn id="2" xr3:uid="{A81AC2F0-9E3E-4816-A5FE-099B771A8271}" name="Dept_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99C048-A4A7-4E23-B5A4-8A4140C26382}" name="Table9" displayName="Table9" ref="A1:B4" totalsRowShown="0" headerRowDxfId="13">
  <autoFilter ref="A1:B4" xr:uid="{6899C048-A4A7-4E23-B5A4-8A4140C26382}"/>
  <tableColumns count="2">
    <tableColumn id="1" xr3:uid="{46F3E3F0-EA53-439B-8C3D-34090EBB1F2E}" name="Location_ID"/>
    <tableColumn id="2" xr3:uid="{75759220-8D91-4094-A84B-194AC45E057D}" name="Cit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3BCDDF-652E-444E-94B7-05CDC93108ED}" name="Table10" displayName="Table10" ref="A1:C4" totalsRowShown="0" headerRowDxfId="12">
  <autoFilter ref="A1:C4" xr:uid="{4F3BCDDF-652E-444E-94B7-05CDC93108ED}"/>
  <tableColumns count="3">
    <tableColumn id="1" xr3:uid="{6D25E0A9-83C2-42FC-9DB5-81A5018491D9}" name="Min_Salary"/>
    <tableColumn id="2" xr3:uid="{048C586B-54B3-4F9C-B557-73CB2E425C16}" name="Max_Salary"/>
    <tableColumn id="3" xr3:uid="{82CFD23A-BBD3-4070-945F-22C326D889A1}" name="Grad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ECC2FCF-D9DD-4E24-86E4-84C8ADA3D0BD}" name="Table11" displayName="Table11" ref="A1:B6" totalsRowShown="0" headerRowDxfId="11">
  <autoFilter ref="A1:B6" xr:uid="{3ECC2FCF-D9DD-4E24-86E4-84C8ADA3D0BD}"/>
  <tableColumns count="2">
    <tableColumn id="1" xr3:uid="{39A5B8C6-F383-4182-A2DB-862331D2F88E}" name="Emp_ID" dataDxfId="10"/>
    <tableColumn id="2" xr3:uid="{2CF1822F-092C-4C16-9DDB-41DE97DBDCA7}" name="Rating" dataDxfId="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636BEC-41B6-4DD3-9FB4-0F5E425F38CD}" name="Table6" displayName="Table6" ref="A1:G6" totalsRowShown="0">
  <autoFilter ref="A1:G6" xr:uid="{CA636BEC-41B6-4DD3-9FB4-0F5E425F38CD}"/>
  <tableColumns count="7">
    <tableColumn id="1" xr3:uid="{6172A8EB-58B5-4C74-8A03-59BDA63A9D66}" name="Emp_ID "/>
    <tableColumn id="2" xr3:uid="{895C4B8E-B3F2-4AD7-99CC-9FEA0ECEBE83}" name=" Name "/>
    <tableColumn id="3" xr3:uid="{25AD0AAC-B5BD-43AF-A5E0-DDCEB52C9839}" name=" Dept ">
      <calculatedColumnFormula>VLOOKUP(VLOOKUP(Table6[[#This Row],[Emp_ID ]],Employees!$A$2:$F$6,3,0),Departments!$A$2:$B$5,2,0)</calculatedColumnFormula>
    </tableColumn>
    <tableColumn id="4" xr3:uid="{EC83B371-1D7C-4E19-8DCA-0E55FB8AC4F1}" name=" City ">
      <calculatedColumnFormula>VLOOKUP(VLOOKUP(Table6[[#This Row],[Emp_ID ]],Employees!$A$2:$F$6,4,0),Locations!$A$2:$B$4,2,0)</calculatedColumnFormula>
    </tableColumn>
    <tableColumn id="5" xr3:uid="{02D4E0DD-A9FA-47AB-BED7-C382BC624B2A}" name=" Salary ">
      <calculatedColumnFormula>VLOOKUP(Table6[[#This Row],[Emp_ID ]],Employees!$A$2:$F$6,5,0)</calculatedColumnFormula>
    </tableColumn>
    <tableColumn id="6" xr3:uid="{586DC1C2-8390-40AB-B269-1AF0A3C4E79B}" name=" Grade ">
      <calculatedColumnFormula>INDEX(Salary_Bands!C:C, MATCH(E2, Salary_Bands!A:A, 1))</calculatedColumnFormula>
    </tableColumn>
    <tableColumn id="7" xr3:uid="{883EB619-2DB8-4F0E-B22C-D5D1937080E6}" name=" Rating">
      <calculatedColumnFormula>VLOOKUP(Table6[[#This Row],[Emp_ID ]],Ratings!$A$2:$B$6,2,0)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sqref="A1:F6"/>
    </sheetView>
  </sheetViews>
  <sheetFormatPr defaultRowHeight="14.4" x14ac:dyDescent="0.3"/>
  <cols>
    <col min="1" max="1" width="9.44140625" customWidth="1"/>
    <col min="3" max="3" width="9.6640625" customWidth="1"/>
    <col min="4" max="4" width="12.88671875" customWidth="1"/>
    <col min="6" max="6" width="11.109375" customWidth="1"/>
  </cols>
  <sheetData>
    <row r="1" spans="1:6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" thickTop="1" x14ac:dyDescent="0.3">
      <c r="A2" s="5">
        <v>1001</v>
      </c>
      <c r="B2" s="6" t="s">
        <v>6</v>
      </c>
      <c r="C2" s="6" t="s">
        <v>7</v>
      </c>
      <c r="D2" s="6" t="s">
        <v>8</v>
      </c>
      <c r="E2" s="6">
        <v>48000</v>
      </c>
      <c r="F2" s="6" t="s">
        <v>9</v>
      </c>
    </row>
    <row r="3" spans="1:6" x14ac:dyDescent="0.3">
      <c r="A3" s="7">
        <v>1002</v>
      </c>
      <c r="B3" s="2" t="s">
        <v>10</v>
      </c>
      <c r="C3" s="2" t="s">
        <v>11</v>
      </c>
      <c r="D3" s="2" t="s">
        <v>12</v>
      </c>
      <c r="E3" s="2">
        <v>62000</v>
      </c>
      <c r="F3" s="2" t="s">
        <v>13</v>
      </c>
    </row>
    <row r="4" spans="1:6" x14ac:dyDescent="0.3">
      <c r="A4" s="8">
        <v>1003</v>
      </c>
      <c r="B4" s="1" t="s">
        <v>14</v>
      </c>
      <c r="C4" s="1" t="s">
        <v>15</v>
      </c>
      <c r="D4" s="1" t="s">
        <v>8</v>
      </c>
      <c r="E4" s="1">
        <v>54000</v>
      </c>
      <c r="F4" s="1" t="s">
        <v>16</v>
      </c>
    </row>
    <row r="5" spans="1:6" x14ac:dyDescent="0.3">
      <c r="A5" s="7">
        <v>1004</v>
      </c>
      <c r="B5" s="2" t="s">
        <v>17</v>
      </c>
      <c r="C5" s="2" t="s">
        <v>7</v>
      </c>
      <c r="D5" s="2" t="s">
        <v>18</v>
      </c>
      <c r="E5" s="2">
        <v>51000</v>
      </c>
      <c r="F5" s="2" t="s">
        <v>19</v>
      </c>
    </row>
    <row r="6" spans="1:6" x14ac:dyDescent="0.3">
      <c r="A6" s="8">
        <v>1005</v>
      </c>
      <c r="B6" s="1" t="s">
        <v>20</v>
      </c>
      <c r="C6" s="1" t="s">
        <v>21</v>
      </c>
      <c r="D6" s="1" t="s">
        <v>12</v>
      </c>
      <c r="E6" s="1">
        <v>72000</v>
      </c>
      <c r="F6" s="1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G14" sqref="G14"/>
    </sheetView>
  </sheetViews>
  <sheetFormatPr defaultRowHeight="14.4" x14ac:dyDescent="0.3"/>
  <cols>
    <col min="1" max="1" width="9.6640625" customWidth="1"/>
    <col min="2" max="2" width="12.88671875" customWidth="1"/>
  </cols>
  <sheetData>
    <row r="1" spans="1:2" ht="15" thickBot="1" x14ac:dyDescent="0.35">
      <c r="A1" s="3" t="s">
        <v>2</v>
      </c>
      <c r="B1" s="4" t="s">
        <v>23</v>
      </c>
    </row>
    <row r="2" spans="1:2" ht="15" thickTop="1" x14ac:dyDescent="0.3">
      <c r="A2" s="5" t="s">
        <v>7</v>
      </c>
      <c r="B2" s="6" t="s">
        <v>24</v>
      </c>
    </row>
    <row r="3" spans="1:2" x14ac:dyDescent="0.3">
      <c r="A3" s="7" t="s">
        <v>11</v>
      </c>
      <c r="B3" s="2" t="s">
        <v>25</v>
      </c>
    </row>
    <row r="4" spans="1:2" x14ac:dyDescent="0.3">
      <c r="A4" s="8" t="s">
        <v>15</v>
      </c>
      <c r="B4" s="1" t="s">
        <v>26</v>
      </c>
    </row>
    <row r="5" spans="1:2" x14ac:dyDescent="0.3">
      <c r="A5" s="7" t="s">
        <v>21</v>
      </c>
      <c r="B5" s="2" t="s">
        <v>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2" sqref="A2"/>
    </sheetView>
  </sheetViews>
  <sheetFormatPr defaultRowHeight="14.4" x14ac:dyDescent="0.3"/>
  <cols>
    <col min="1" max="1" width="12.88671875" customWidth="1"/>
  </cols>
  <sheetData>
    <row r="1" spans="1:2" ht="15" thickBot="1" x14ac:dyDescent="0.35">
      <c r="A1" s="3" t="s">
        <v>3</v>
      </c>
      <c r="B1" s="4" t="s">
        <v>28</v>
      </c>
    </row>
    <row r="2" spans="1:2" ht="15" thickTop="1" x14ac:dyDescent="0.3">
      <c r="A2" s="5" t="s">
        <v>8</v>
      </c>
      <c r="B2" s="6" t="s">
        <v>29</v>
      </c>
    </row>
    <row r="3" spans="1:2" x14ac:dyDescent="0.3">
      <c r="A3" s="7" t="s">
        <v>12</v>
      </c>
      <c r="B3" s="2" t="s">
        <v>30</v>
      </c>
    </row>
    <row r="4" spans="1:2" x14ac:dyDescent="0.3">
      <c r="A4" s="8" t="s">
        <v>18</v>
      </c>
      <c r="B4" s="1" t="s">
        <v>31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E11" sqref="E11"/>
    </sheetView>
  </sheetViews>
  <sheetFormatPr defaultRowHeight="14.4" x14ac:dyDescent="0.3"/>
  <cols>
    <col min="1" max="1" width="12.33203125" customWidth="1"/>
    <col min="2" max="2" width="12.6640625" customWidth="1"/>
  </cols>
  <sheetData>
    <row r="1" spans="1:3" ht="15" thickBot="1" x14ac:dyDescent="0.35">
      <c r="A1" s="3" t="s">
        <v>32</v>
      </c>
      <c r="B1" s="4" t="s">
        <v>33</v>
      </c>
      <c r="C1" s="4" t="s">
        <v>34</v>
      </c>
    </row>
    <row r="2" spans="1:3" ht="15" thickTop="1" x14ac:dyDescent="0.3">
      <c r="A2" s="5">
        <v>0</v>
      </c>
      <c r="B2" s="6">
        <v>50000</v>
      </c>
      <c r="C2" s="6" t="s">
        <v>35</v>
      </c>
    </row>
    <row r="3" spans="1:3" x14ac:dyDescent="0.3">
      <c r="A3" s="7">
        <v>50001</v>
      </c>
      <c r="B3" s="2">
        <v>65000</v>
      </c>
      <c r="C3" s="2" t="s">
        <v>36</v>
      </c>
    </row>
    <row r="4" spans="1:3" x14ac:dyDescent="0.3">
      <c r="A4" s="8">
        <v>65001</v>
      </c>
      <c r="B4" s="1">
        <v>100000</v>
      </c>
      <c r="C4" s="1" t="s">
        <v>37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5" sqref="B5"/>
    </sheetView>
  </sheetViews>
  <sheetFormatPr defaultRowHeight="14.4" x14ac:dyDescent="0.3"/>
  <cols>
    <col min="1" max="1" width="9.44140625" customWidth="1"/>
  </cols>
  <sheetData>
    <row r="1" spans="1:2" ht="15" thickBot="1" x14ac:dyDescent="0.35">
      <c r="A1" s="3" t="s">
        <v>0</v>
      </c>
      <c r="B1" s="4" t="s">
        <v>38</v>
      </c>
    </row>
    <row r="2" spans="1:2" ht="15" thickTop="1" x14ac:dyDescent="0.3">
      <c r="A2" s="5">
        <v>1001</v>
      </c>
      <c r="B2" s="6">
        <v>3</v>
      </c>
    </row>
    <row r="3" spans="1:2" x14ac:dyDescent="0.3">
      <c r="A3" s="7">
        <v>1002</v>
      </c>
      <c r="B3" s="2">
        <v>5</v>
      </c>
    </row>
    <row r="4" spans="1:2" x14ac:dyDescent="0.3">
      <c r="A4" s="8">
        <v>1003</v>
      </c>
      <c r="B4" s="1">
        <v>4</v>
      </c>
    </row>
    <row r="5" spans="1:2" x14ac:dyDescent="0.3">
      <c r="A5" s="7">
        <v>1004</v>
      </c>
      <c r="B5" s="2">
        <v>2</v>
      </c>
    </row>
    <row r="6" spans="1:2" x14ac:dyDescent="0.3">
      <c r="A6" s="8">
        <v>1005</v>
      </c>
      <c r="B6" s="1">
        <v>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69FE-4B26-4AFC-A191-406A29135916}">
  <dimension ref="A1:K6"/>
  <sheetViews>
    <sheetView tabSelected="1" workbookViewId="0">
      <selection activeCell="K2" sqref="K2"/>
    </sheetView>
  </sheetViews>
  <sheetFormatPr defaultRowHeight="14.4" x14ac:dyDescent="0.3"/>
  <cols>
    <col min="1" max="1" width="9.88671875" customWidth="1"/>
  </cols>
  <sheetData>
    <row r="1" spans="1:11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11" x14ac:dyDescent="0.3">
      <c r="A2">
        <v>1001</v>
      </c>
      <c r="B2" t="s">
        <v>6</v>
      </c>
      <c r="C2" t="str">
        <f>VLOOKUP(VLOOKUP(Table6[[#This Row],[Emp_ID ]],Employees!$A$2:$F$6,3,0),Departments!$A$2:$B$5,2,0)</f>
        <v>HR</v>
      </c>
      <c r="D2" t="str">
        <f>VLOOKUP(VLOOKUP(Table6[[#This Row],[Emp_ID ]],Employees!$A$2:$F$6,4,0),Locations!$A$2:$B$4,2,0)</f>
        <v>Mumbai</v>
      </c>
      <c r="E2">
        <v>10000</v>
      </c>
      <c r="F2" t="str">
        <f>INDEX(Salary_Bands!C:C, MATCH(E2, Salary_Bands!A:A, 1))</f>
        <v>C</v>
      </c>
      <c r="G2">
        <f>VLOOKUP(Table6[[#This Row],[Emp_ID ]],Ratings!$A$2:$B$6,2,0)</f>
        <v>3</v>
      </c>
      <c r="K2" t="str">
        <f>_xlfn.XLOOKUP(Table6[[#This Row],[ Salary ]], Table10[Min_Salary], Table10[Grade], "NA", -1)</f>
        <v>C</v>
      </c>
    </row>
    <row r="3" spans="1:11" x14ac:dyDescent="0.3">
      <c r="A3">
        <v>1002</v>
      </c>
      <c r="B3" t="s">
        <v>10</v>
      </c>
      <c r="C3" t="str">
        <f>VLOOKUP(VLOOKUP(Table6[[#This Row],[Emp_ID ]],Employees!$A$2:$F$6,3,0),Departments!$A$2:$B$5,2,0)</f>
        <v>Finance</v>
      </c>
      <c r="D3" t="str">
        <f>VLOOKUP(VLOOKUP(Table6[[#This Row],[Emp_ID ]],Employees!$A$2:$F$6,4,0),Locations!$A$2:$B$4,2,0)</f>
        <v>Pune</v>
      </c>
      <c r="E3">
        <f>VLOOKUP(Table6[[#This Row],[Emp_ID ]],Employees!$A$2:$F$6,5,0)</f>
        <v>62000</v>
      </c>
      <c r="F3" t="str">
        <f>INDEX(Salary_Bands!C:C, MATCH(E3, Salary_Bands!A:A, 1))</f>
        <v>B</v>
      </c>
      <c r="G3">
        <f>VLOOKUP(Table6[[#This Row],[Emp_ID ]],Ratings!$A$2:$B$6,2,0)</f>
        <v>5</v>
      </c>
      <c r="K3" t="str">
        <f>_xlfn.XLOOKUP(Table6[[#This Row],[ Salary ]], Table10[Min_Salary], Table10[Grade], "NA", -1)</f>
        <v>B</v>
      </c>
    </row>
    <row r="4" spans="1:11" x14ac:dyDescent="0.3">
      <c r="A4">
        <v>1003</v>
      </c>
      <c r="B4" t="s">
        <v>14</v>
      </c>
      <c r="C4" t="str">
        <f>VLOOKUP(VLOOKUP(Table6[[#This Row],[Emp_ID ]],Employees!$A$2:$F$6,3,0),Departments!$A$2:$B$5,2,0)</f>
        <v>IT</v>
      </c>
      <c r="D4" t="str">
        <f>VLOOKUP(VLOOKUP(Table6[[#This Row],[Emp_ID ]],Employees!$A$2:$F$6,4,0),Locations!$A$2:$B$4,2,0)</f>
        <v>Mumbai</v>
      </c>
      <c r="E4">
        <f>VLOOKUP(Table6[[#This Row],[Emp_ID ]],Employees!$A$2:$F$6,5,0)</f>
        <v>54000</v>
      </c>
      <c r="F4" t="str">
        <f>INDEX(Salary_Bands!C:C, MATCH(E4, Salary_Bands!A:A, 1))</f>
        <v>B</v>
      </c>
      <c r="G4">
        <f>VLOOKUP(Table6[[#This Row],[Emp_ID ]],Ratings!$A$2:$B$6,2,0)</f>
        <v>4</v>
      </c>
      <c r="K4" t="str">
        <f>_xlfn.XLOOKUP(Table6[[#This Row],[ Salary ]], Table10[Min_Salary], Table10[Grade], "NA", -1)</f>
        <v>B</v>
      </c>
    </row>
    <row r="5" spans="1:11" x14ac:dyDescent="0.3">
      <c r="A5">
        <v>1004</v>
      </c>
      <c r="B5" t="s">
        <v>17</v>
      </c>
      <c r="C5" t="str">
        <f>VLOOKUP(VLOOKUP(Table6[[#This Row],[Emp_ID ]],Employees!$A$2:$F$6,3,0),Departments!$A$2:$B$5,2,0)</f>
        <v>HR</v>
      </c>
      <c r="D5" t="str">
        <f>VLOOKUP(VLOOKUP(Table6[[#This Row],[Emp_ID ]],Employees!$A$2:$F$6,4,0),Locations!$A$2:$B$4,2,0)</f>
        <v>Bangalore</v>
      </c>
      <c r="E5">
        <f>VLOOKUP(Table6[[#This Row],[Emp_ID ]],Employees!$A$2:$F$6,5,0)</f>
        <v>51000</v>
      </c>
      <c r="F5" t="str">
        <f>INDEX(Salary_Bands!C:C, MATCH(E5, Salary_Bands!A:A, 1))</f>
        <v>B</v>
      </c>
      <c r="G5">
        <f>VLOOKUP(Table6[[#This Row],[Emp_ID ]],Ratings!$A$2:$B$6,2,0)</f>
        <v>2</v>
      </c>
      <c r="K5" t="str">
        <f>_xlfn.XLOOKUP(Table6[[#This Row],[ Salary ]], Table10[Min_Salary], Table10[Grade], "NA", -1)</f>
        <v>B</v>
      </c>
    </row>
    <row r="6" spans="1:11" x14ac:dyDescent="0.3">
      <c r="A6">
        <v>1005</v>
      </c>
      <c r="B6" t="s">
        <v>20</v>
      </c>
      <c r="C6" t="str">
        <f>VLOOKUP(VLOOKUP(Table6[[#This Row],[Emp_ID ]],Employees!$A$2:$F$6,3,0),Departments!$A$2:$B$5,2,0)</f>
        <v>Marketing</v>
      </c>
      <c r="D6" t="str">
        <f>VLOOKUP(VLOOKUP(Table6[[#This Row],[Emp_ID ]],Employees!$A$2:$F$6,4,0),Locations!$A$2:$B$4,2,0)</f>
        <v>Pune</v>
      </c>
      <c r="E6">
        <f>VLOOKUP(Table6[[#This Row],[Emp_ID ]],Employees!$A$2:$F$6,5,0)</f>
        <v>72000</v>
      </c>
      <c r="F6" t="str">
        <f>INDEX(Salary_Bands!C:C, MATCH(E6, Salary_Bands!A:A, 1))</f>
        <v>A</v>
      </c>
      <c r="G6">
        <f>VLOOKUP(Table6[[#This Row],[Emp_ID ]],Ratings!$A$2:$B$6,2,0)</f>
        <v>5</v>
      </c>
      <c r="K6" t="str">
        <f>_xlfn.XLOOKUP(Table6[[#This Row],[ Salary ]], Table10[Min_Salary], Table10[Grade], "NA", -1)</f>
        <v>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0349181-8659-4002-9B22-2B96A059BCF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984F6C4-EC59-47CB-A928-39257D658410}">
  <ds:schemaRefs/>
</ds:datastoreItem>
</file>

<file path=customXml/itemProps3.xml><?xml version="1.0" encoding="utf-8"?>
<ds:datastoreItem xmlns:ds="http://schemas.openxmlformats.org/officeDocument/2006/customXml" ds:itemID="{1DE45CBA-A44A-46EC-AC81-987E05F85626}">
  <ds:schemaRefs/>
</ds:datastoreItem>
</file>

<file path=customXml/itemProps4.xml><?xml version="1.0" encoding="utf-8"?>
<ds:datastoreItem xmlns:ds="http://schemas.openxmlformats.org/officeDocument/2006/customXml" ds:itemID="{12B39608-7175-497E-91E0-10C655026E1F}">
  <ds:schemaRefs/>
</ds:datastoreItem>
</file>

<file path=customXml/itemProps5.xml><?xml version="1.0" encoding="utf-8"?>
<ds:datastoreItem xmlns:ds="http://schemas.openxmlformats.org/officeDocument/2006/customXml" ds:itemID="{E5848375-3635-4FEF-A75F-B65BB6463A22}">
  <ds:schemaRefs/>
</ds:datastoreItem>
</file>

<file path=customXml/itemProps6.xml><?xml version="1.0" encoding="utf-8"?>
<ds:datastoreItem xmlns:ds="http://schemas.openxmlformats.org/officeDocument/2006/customXml" ds:itemID="{1C5F9FE6-6DB8-4C70-89E9-4C0050761E7D}">
  <ds:schemaRefs/>
</ds:datastoreItem>
</file>

<file path=customXml/itemProps7.xml><?xml version="1.0" encoding="utf-8"?>
<ds:datastoreItem xmlns:ds="http://schemas.openxmlformats.org/officeDocument/2006/customXml" ds:itemID="{716D9351-C214-476D-8E03-A43E24592BBC}">
  <ds:schemaRefs/>
</ds:datastoreItem>
</file>

<file path=customXml/itemProps8.xml><?xml version="1.0" encoding="utf-8"?>
<ds:datastoreItem xmlns:ds="http://schemas.openxmlformats.org/officeDocument/2006/customXml" ds:itemID="{8E17DA6A-51FD-4E11-A74C-E445E2EAE89E}">
  <ds:schemaRefs/>
</ds:datastoreItem>
</file>

<file path=customXml/itemProps9.xml><?xml version="1.0" encoding="utf-8"?>
<ds:datastoreItem xmlns:ds="http://schemas.openxmlformats.org/officeDocument/2006/customXml" ds:itemID="{3ECD4E64-9C01-4937-BEC8-CCC24343679B}">
  <ds:schemaRefs/>
</ds:datastoreItem>
</file>

<file path=customXml/itemProps10.xml><?xml version="1.0" encoding="utf-8"?>
<ds:datastoreItem xmlns:ds="http://schemas.openxmlformats.org/officeDocument/2006/customXml" ds:itemID="{369C4D3C-0BCF-496D-B995-D088C47AFFF6}">
  <ds:schemaRefs/>
</ds:datastoreItem>
</file>

<file path=customXml/itemProps11.xml><?xml version="1.0" encoding="utf-8"?>
<ds:datastoreItem xmlns:ds="http://schemas.openxmlformats.org/officeDocument/2006/customXml" ds:itemID="{00CDBCDD-3E29-4FB4-BF33-A435191A1C71}">
  <ds:schemaRefs/>
</ds:datastoreItem>
</file>

<file path=customXml/itemProps12.xml><?xml version="1.0" encoding="utf-8"?>
<ds:datastoreItem xmlns:ds="http://schemas.openxmlformats.org/officeDocument/2006/customXml" ds:itemID="{49F016E1-A730-49DE-A75A-D71F26595D34}">
  <ds:schemaRefs/>
</ds:datastoreItem>
</file>

<file path=customXml/itemProps13.xml><?xml version="1.0" encoding="utf-8"?>
<ds:datastoreItem xmlns:ds="http://schemas.openxmlformats.org/officeDocument/2006/customXml" ds:itemID="{064EBC00-4542-47F5-BE00-95EFC1E24286}">
  <ds:schemaRefs/>
</ds:datastoreItem>
</file>

<file path=customXml/itemProps14.xml><?xml version="1.0" encoding="utf-8"?>
<ds:datastoreItem xmlns:ds="http://schemas.openxmlformats.org/officeDocument/2006/customXml" ds:itemID="{C441CFEC-A433-492F-A0A8-760727969492}">
  <ds:schemaRefs/>
</ds:datastoreItem>
</file>

<file path=customXml/itemProps15.xml><?xml version="1.0" encoding="utf-8"?>
<ds:datastoreItem xmlns:ds="http://schemas.openxmlformats.org/officeDocument/2006/customXml" ds:itemID="{F4A89F94-F4D7-456F-8BEE-16EF3E30F416}">
  <ds:schemaRefs/>
</ds:datastoreItem>
</file>

<file path=customXml/itemProps16.xml><?xml version="1.0" encoding="utf-8"?>
<ds:datastoreItem xmlns:ds="http://schemas.openxmlformats.org/officeDocument/2006/customXml" ds:itemID="{CF04BC39-C3F7-4CBB-A471-3F469EED2151}">
  <ds:schemaRefs/>
</ds:datastoreItem>
</file>

<file path=customXml/itemProps17.xml><?xml version="1.0" encoding="utf-8"?>
<ds:datastoreItem xmlns:ds="http://schemas.openxmlformats.org/officeDocument/2006/customXml" ds:itemID="{00082FCE-B707-4884-815F-4A47015E9BD0}">
  <ds:schemaRefs/>
</ds:datastoreItem>
</file>

<file path=customXml/itemProps18.xml><?xml version="1.0" encoding="utf-8"?>
<ds:datastoreItem xmlns:ds="http://schemas.openxmlformats.org/officeDocument/2006/customXml" ds:itemID="{6B55E24B-41B7-4BE8-9D64-365603BA19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Departments</vt:lpstr>
      <vt:lpstr>Locations</vt:lpstr>
      <vt:lpstr>Salary_Bands</vt:lpstr>
      <vt:lpstr>Ratings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waghmare</cp:lastModifiedBy>
  <dcterms:created xsi:type="dcterms:W3CDTF">2026-03-21T06:52:24Z</dcterms:created>
  <dcterms:modified xsi:type="dcterms:W3CDTF">2026-03-21T10:30:32Z</dcterms:modified>
</cp:coreProperties>
</file>