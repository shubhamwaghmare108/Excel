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Taywade College\Excel\"/>
    </mc:Choice>
  </mc:AlternateContent>
  <xr:revisionPtr revIDLastSave="0" documentId="13_ncr:1_{9990E2A4-8FCB-4F5C-8BEF-2CE0B13CA24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ookup" sheetId="1" r:id="rId1"/>
    <sheet name="Index+Match" sheetId="2" r:id="rId2"/>
    <sheet name="Filter&amp;Sort" sheetId="3" r:id="rId3"/>
    <sheet name="RemoveDuplic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2" l="1" a="1"/>
  <c r="C23" i="2" s="1"/>
  <c r="F15" i="2"/>
  <c r="D17" i="2"/>
  <c r="E28" i="1"/>
  <c r="E26" i="1"/>
  <c r="I10" i="1"/>
  <c r="I11" i="1"/>
  <c r="J9" i="1"/>
  <c r="J8" i="1"/>
  <c r="I9" i="1"/>
  <c r="I8" i="1"/>
  <c r="J4" i="1"/>
  <c r="J3" i="1"/>
  <c r="R42" i="3" a="1"/>
  <c r="R42" i="3" s="1"/>
  <c r="T42" i="3"/>
  <c r="U42" i="3"/>
  <c r="S44" i="3" a="1"/>
  <c r="S44" i="3" s="1"/>
  <c r="Q44" i="3" a="1"/>
  <c r="Q44" i="3" s="1"/>
  <c r="Q45" i="3"/>
  <c r="Q46" i="3"/>
  <c r="Q47" i="3"/>
  <c r="Q49" i="3"/>
  <c r="Q50" i="3"/>
  <c r="Q51" i="3"/>
  <c r="I2" i="2" a="1"/>
  <c r="I2" i="2" s="1"/>
  <c r="E21" i="2"/>
  <c r="H21" i="2"/>
  <c r="D34" i="1"/>
  <c r="D35" i="1"/>
  <c r="D33" i="1"/>
  <c r="G24" i="1"/>
  <c r="V10" i="3"/>
  <c r="V6" i="3"/>
  <c r="K16" i="3" a="1"/>
  <c r="K16" i="3" s="1"/>
  <c r="K6" i="3" a="1"/>
  <c r="K6" i="3" s="1"/>
  <c r="T6" i="3"/>
  <c r="T16" i="3" a="1"/>
  <c r="T16" i="3" s="1"/>
  <c r="J18" i="2" a="1"/>
  <c r="J18" i="2" s="1"/>
  <c r="J17" i="2"/>
  <c r="J5" i="2" a="1"/>
  <c r="J5" i="2" s="1"/>
  <c r="J4" i="2" a="1"/>
  <c r="J4" i="2" s="1"/>
  <c r="J20" i="2"/>
  <c r="J16" i="2"/>
  <c r="J5" i="1"/>
  <c r="B17" i="2" l="1"/>
  <c r="S42" i="3"/>
  <c r="V42" i="3"/>
  <c r="Q4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<sst xmlns="http://schemas.openxmlformats.org/spreadsheetml/2006/main" count="175" uniqueCount="53">
  <si>
    <t>Order ID</t>
  </si>
  <si>
    <t>Product</t>
  </si>
  <si>
    <t>Category</t>
  </si>
  <si>
    <t>Quantity</t>
  </si>
  <si>
    <t>Price per Unit</t>
  </si>
  <si>
    <t>Order Date</t>
  </si>
  <si>
    <t>Laptop</t>
  </si>
  <si>
    <t>Electronics</t>
  </si>
  <si>
    <t>Printer</t>
  </si>
  <si>
    <t>Desk</t>
  </si>
  <si>
    <t>Office Furniture</t>
  </si>
  <si>
    <t>Chair</t>
  </si>
  <si>
    <t>Smartphone</t>
  </si>
  <si>
    <t>Tablet</t>
  </si>
  <si>
    <t>Desk Lamp</t>
  </si>
  <si>
    <t>Home Decor</t>
  </si>
  <si>
    <t>File Cabinet</t>
  </si>
  <si>
    <t>Headphones</t>
  </si>
  <si>
    <t>Bookshelf</t>
  </si>
  <si>
    <t>Vlookup</t>
  </si>
  <si>
    <t>Xlookup</t>
  </si>
  <si>
    <t>lookup</t>
  </si>
  <si>
    <t>Hlookup</t>
  </si>
  <si>
    <t>Index</t>
  </si>
  <si>
    <t>Case1</t>
  </si>
  <si>
    <t>Case2</t>
  </si>
  <si>
    <t>Want to Retrive complete row data</t>
  </si>
  <si>
    <t>Want to Retrive complete column data</t>
  </si>
  <si>
    <t>Case3</t>
  </si>
  <si>
    <t>Match</t>
  </si>
  <si>
    <t>Case4</t>
  </si>
  <si>
    <t>Want To Find Data in 2D array</t>
  </si>
  <si>
    <t>Want To Find Data in 1D array</t>
  </si>
  <si>
    <t>Case5</t>
  </si>
  <si>
    <t>Return Index of Value in Array</t>
  </si>
  <si>
    <t>Filter</t>
  </si>
  <si>
    <t>Sort</t>
  </si>
  <si>
    <t>Sortby</t>
  </si>
  <si>
    <t>Offset</t>
  </si>
  <si>
    <t>a</t>
  </si>
  <si>
    <t>sd</t>
  </si>
  <si>
    <t>ff</t>
  </si>
  <si>
    <t>g</t>
  </si>
  <si>
    <t>x</t>
  </si>
  <si>
    <t>cv</t>
  </si>
  <si>
    <t>v</t>
  </si>
  <si>
    <t>c</t>
  </si>
  <si>
    <t>s</t>
  </si>
  <si>
    <t>n</t>
  </si>
  <si>
    <t>Column1</t>
  </si>
  <si>
    <t>Mobile</t>
  </si>
  <si>
    <t>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</si>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</sst>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4" xfId="0" applyBorder="1"/>
    <xf numFmtId="14" fontId="1" fillId="2" borderId="2" xfId="0" applyNumberFormat="1" applyFont="1" applyFill="1" applyBorder="1"/>
    <xf numFmtId="0" fontId="0" fillId="0" borderId="5" xfId="0" applyFont="1" applyBorder="1"/>
    <xf numFmtId="0" fontId="0" fillId="3" borderId="4" xfId="0" applyFill="1" applyBorder="1"/>
    <xf numFmtId="0" fontId="0" fillId="3" borderId="0" xfId="0" applyFill="1"/>
    <xf numFmtId="0" fontId="0" fillId="4" borderId="0" xfId="0" applyFill="1"/>
    <xf numFmtId="14" fontId="0" fillId="0" borderId="0" xfId="0" applyNumberFormat="1"/>
    <xf numFmtId="0" fontId="0" fillId="5" borderId="6" xfId="0" applyFont="1" applyFill="1" applyBorder="1"/>
    <xf numFmtId="0" fontId="0" fillId="5" borderId="5" xfId="0" applyFont="1" applyFill="1" applyBorder="1"/>
    <xf numFmtId="0" fontId="0" fillId="0" borderId="6" xfId="0" applyFont="1" applyBorder="1"/>
    <xf numFmtId="0" fontId="0" fillId="5" borderId="2" xfId="0" applyFont="1" applyFill="1" applyBorder="1"/>
    <xf numFmtId="0" fontId="0" fillId="0" borderId="2" xfId="0" applyFont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14" fontId="1" fillId="2" borderId="0" xfId="0" applyNumberFormat="1" applyFont="1" applyFill="1" applyBorder="1"/>
    <xf numFmtId="0" fontId="1" fillId="2" borderId="5" xfId="0" applyFont="1" applyFill="1" applyBorder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19" formatCode="m/d/yyyy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C0F85-593B-461F-B9CA-38E0D7746469}" name="Table1" displayName="Table1" ref="A1:F12" totalsRowShown="0" headerRowDxfId="17" headerRowBorderDxfId="16" tableBorderDxfId="15" totalsRowBorderDxfId="14">
  <autoFilter ref="A1:F12" xr:uid="{E9DC0F85-593B-461F-B9CA-38E0D77464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F56173B-2F0C-4CA9-944A-C19ED2382F92}" name="Order ID"/>
    <tableColumn id="2" xr3:uid="{9D5EB062-39D1-45D9-8017-C5DFAB2CB009}" name="Product"/>
    <tableColumn id="3" xr3:uid="{F183D27F-49E0-47ED-9406-1375EE8EB807}" name="Category"/>
    <tableColumn id="4" xr3:uid="{80055DB5-73D3-4663-AA9B-53D74BBBD0CA}" name="Quantity"/>
    <tableColumn id="5" xr3:uid="{7C97CE42-72E8-40D8-9B6E-674C41BF676C}" name="Price per Unit"/>
    <tableColumn id="6" xr3:uid="{F7660D4E-7D7C-4A4D-990C-323E69F37DC5}" name="Order Dat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146E93-5A47-4B8C-9F8A-EE0D44BB6E24}" name="Table3" displayName="Table3" ref="A1:F11" totalsRowShown="0" headerRowDxfId="0" dataDxfId="1" tableBorderDxfId="8">
  <autoFilter ref="A1:F11" xr:uid="{A0146E93-5A47-4B8C-9F8A-EE0D44BB6E24}"/>
  <tableColumns count="6">
    <tableColumn id="1" xr3:uid="{5054DB9E-686F-4F50-A7C6-0F2316188CCF}" name="Order ID" dataDxfId="7"/>
    <tableColumn id="2" xr3:uid="{43359B7B-768E-407F-8815-7DAA63D67DB5}" name="Product" dataDxfId="6"/>
    <tableColumn id="3" xr3:uid="{F13CA0F2-6FFF-45A2-8B43-936B54A3EE6A}" name="Category" dataDxfId="5"/>
    <tableColumn id="4" xr3:uid="{AD4BB857-347E-4B48-801A-D1FE5B2E2467}" name="Quantity" dataDxfId="4"/>
    <tableColumn id="5" xr3:uid="{0C583D70-2778-42ED-A685-D6F786AC65B7}" name="Price per Unit" dataDxfId="3"/>
    <tableColumn id="6" xr3:uid="{4702BC40-2FBC-4BA0-ABE1-A919122A5463}" name="Order Dat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E65A20-A576-4431-85A3-6EF52D5A0528}" name="Table13" displayName="Table13" ref="B4:H14" totalsRowShown="0" headerRowDxfId="12" headerRowBorderDxfId="11" tableBorderDxfId="10" totalsRowBorderDxfId="9">
  <autoFilter ref="B4:H14" xr:uid="{25E65A20-A576-4431-85A3-6EF52D5A0528}"/>
  <tableColumns count="7">
    <tableColumn id="1" xr3:uid="{36720024-32FD-4CC1-BBA2-76BEA3148CDD}" name="Order ID"/>
    <tableColumn id="2" xr3:uid="{DF1CA45B-9282-43E7-B9D1-3090780B5DE9}" name="Product"/>
    <tableColumn id="3" xr3:uid="{70FA31B5-AEFA-4017-A69A-957CD3125011}" name="Category"/>
    <tableColumn id="4" xr3:uid="{30A97CA0-A116-4743-85FD-7847E74261C1}" name="Quantity"/>
    <tableColumn id="5" xr3:uid="{DAF2EFF6-6C64-4854-9C2C-A350E20A5460}" name="Price per Unit"/>
    <tableColumn id="6" xr3:uid="{80FB3AE9-E3E0-4402-90E9-A1061479C515}" name="Order Date"/>
    <tableColumn id="7" xr3:uid="{10D1BFAD-3A8C-479F-A910-02AE4437E5F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opLeftCell="A25" zoomScale="175" zoomScaleNormal="175" workbookViewId="0">
      <selection activeCell="D26" sqref="D26"/>
    </sheetView>
  </sheetViews>
  <sheetFormatPr defaultRowHeight="14.4" x14ac:dyDescent="0.3"/>
  <cols>
    <col min="1" max="1" width="12.33203125" bestFit="1" customWidth="1"/>
    <col min="2" max="2" width="11.109375" bestFit="1" customWidth="1"/>
    <col min="3" max="5" width="13.88671875" bestFit="1" customWidth="1"/>
    <col min="6" max="6" width="10.88671875" bestFit="1" customWidth="1"/>
    <col min="7" max="7" width="13.88671875" bestFit="1" customWidth="1"/>
    <col min="8" max="8" width="11.21875" bestFit="1" customWidth="1"/>
    <col min="9" max="11" width="13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11" x14ac:dyDescent="0.3">
      <c r="A2">
        <v>1003</v>
      </c>
      <c r="B2" t="s">
        <v>6</v>
      </c>
      <c r="C2" t="s">
        <v>7</v>
      </c>
      <c r="D2">
        <v>2</v>
      </c>
      <c r="E2">
        <v>800</v>
      </c>
      <c r="F2" s="13">
        <v>44931</v>
      </c>
      <c r="H2" s="7"/>
      <c r="I2" s="7" t="s">
        <v>0</v>
      </c>
      <c r="J2" s="7" t="s">
        <v>2</v>
      </c>
    </row>
    <row r="3" spans="1:11" x14ac:dyDescent="0.3">
      <c r="A3">
        <v>1002</v>
      </c>
      <c r="B3" t="s">
        <v>8</v>
      </c>
      <c r="C3" t="s">
        <v>7</v>
      </c>
      <c r="D3">
        <v>1</v>
      </c>
      <c r="E3">
        <v>300</v>
      </c>
      <c r="F3" s="13">
        <v>44936</v>
      </c>
      <c r="H3" s="7" t="s">
        <v>19</v>
      </c>
      <c r="I3" s="7">
        <v>1005</v>
      </c>
      <c r="J3" s="7" t="str">
        <f>VLOOKUP(I3,Table1[[Order ID]:[Category]],3)</f>
        <v>Electronics</v>
      </c>
    </row>
    <row r="4" spans="1:11" x14ac:dyDescent="0.3">
      <c r="A4">
        <v>1003</v>
      </c>
      <c r="B4" t="s">
        <v>9</v>
      </c>
      <c r="C4" t="s">
        <v>10</v>
      </c>
      <c r="D4">
        <v>1</v>
      </c>
      <c r="E4">
        <v>200</v>
      </c>
      <c r="F4" s="13">
        <v>44941</v>
      </c>
      <c r="H4" s="7" t="s">
        <v>20</v>
      </c>
      <c r="I4" s="7">
        <v>1005</v>
      </c>
      <c r="J4" s="7" t="str">
        <f>_xlfn.XLOOKUP(I4,Table1[Order ID],Table1[Category],"No Data Found",0,1)</f>
        <v>Electronics</v>
      </c>
    </row>
    <row r="5" spans="1:11" x14ac:dyDescent="0.3">
      <c r="A5">
        <v>1004</v>
      </c>
      <c r="B5" t="s">
        <v>11</v>
      </c>
      <c r="C5" t="s">
        <v>10</v>
      </c>
      <c r="D5">
        <v>4</v>
      </c>
      <c r="E5">
        <v>50</v>
      </c>
      <c r="F5" s="13">
        <v>44946</v>
      </c>
      <c r="G5" s="14">
        <v>1003</v>
      </c>
      <c r="H5" s="7" t="s">
        <v>21</v>
      </c>
      <c r="I5" s="7">
        <v>1010</v>
      </c>
      <c r="J5" s="7" t="str">
        <f>LOOKUP(I5,Table1[Order ID],Table1[Category])</f>
        <v>Electronics</v>
      </c>
    </row>
    <row r="6" spans="1:11" x14ac:dyDescent="0.3">
      <c r="A6">
        <v>1005</v>
      </c>
      <c r="B6" t="s">
        <v>12</v>
      </c>
      <c r="C6" t="s">
        <v>7</v>
      </c>
      <c r="D6">
        <v>3</v>
      </c>
      <c r="E6">
        <v>400</v>
      </c>
      <c r="F6" s="13">
        <v>44951</v>
      </c>
      <c r="G6" s="16">
        <v>1002</v>
      </c>
    </row>
    <row r="7" spans="1:11" x14ac:dyDescent="0.3">
      <c r="A7">
        <v>1006</v>
      </c>
      <c r="B7" t="s">
        <v>13</v>
      </c>
      <c r="C7" t="s">
        <v>7</v>
      </c>
      <c r="D7">
        <v>2</v>
      </c>
      <c r="E7">
        <v>250</v>
      </c>
      <c r="F7" s="13">
        <v>44958</v>
      </c>
      <c r="G7" s="14">
        <v>1003</v>
      </c>
    </row>
    <row r="8" spans="1:11" x14ac:dyDescent="0.3">
      <c r="A8">
        <v>1005</v>
      </c>
      <c r="B8" t="s">
        <v>50</v>
      </c>
      <c r="C8" t="s">
        <v>51</v>
      </c>
      <c r="F8" s="13"/>
      <c r="G8" s="16">
        <v>1004</v>
      </c>
      <c r="H8">
        <v>1009</v>
      </c>
      <c r="I8" t="str">
        <f>VLOOKUP(H8,Table1[],3,1)</f>
        <v>Office Furniture</v>
      </c>
      <c r="J8">
        <f>_xlfn.XLOOKUP(H8,Table1[Order ID],Table1[Price per Unit],"No data",0)</f>
        <v>120</v>
      </c>
    </row>
    <row r="9" spans="1:11" x14ac:dyDescent="0.3">
      <c r="A9">
        <v>1007</v>
      </c>
      <c r="B9" t="s">
        <v>14</v>
      </c>
      <c r="C9" t="s">
        <v>15</v>
      </c>
      <c r="D9">
        <v>1</v>
      </c>
      <c r="E9">
        <v>30</v>
      </c>
      <c r="F9" s="13">
        <v>44962</v>
      </c>
      <c r="G9" s="14">
        <v>1005</v>
      </c>
      <c r="H9">
        <v>1011</v>
      </c>
      <c r="I9" t="str">
        <f>VLOOKUP(H9,Table1[],3,1)</f>
        <v>Office Furniture</v>
      </c>
      <c r="J9" t="str">
        <f>_xlfn.XLOOKUP(H9,Table1[Order ID],Table1[Price per Unit],"No data",0)</f>
        <v>No data</v>
      </c>
    </row>
    <row r="10" spans="1:11" x14ac:dyDescent="0.3">
      <c r="A10">
        <v>1008</v>
      </c>
      <c r="B10" t="s">
        <v>16</v>
      </c>
      <c r="C10" t="s">
        <v>10</v>
      </c>
      <c r="D10">
        <v>2</v>
      </c>
      <c r="E10">
        <v>150</v>
      </c>
      <c r="F10" s="13">
        <v>44967</v>
      </c>
      <c r="G10" s="16">
        <v>1006</v>
      </c>
      <c r="H10" s="15" t="s">
        <v>12</v>
      </c>
      <c r="I10">
        <f>_xlfn.XLOOKUP(H10,Table1[Product],Table1[Order ID],"no",0)</f>
        <v>1005</v>
      </c>
    </row>
    <row r="11" spans="1:11" x14ac:dyDescent="0.3">
      <c r="A11">
        <v>1010</v>
      </c>
      <c r="B11" t="s">
        <v>17</v>
      </c>
      <c r="C11" t="s">
        <v>7</v>
      </c>
      <c r="D11">
        <v>2</v>
      </c>
      <c r="E11">
        <v>100</v>
      </c>
      <c r="F11" s="13">
        <v>44972</v>
      </c>
      <c r="G11" s="16">
        <v>1007</v>
      </c>
      <c r="I11" t="str">
        <f>_xlfn.XLOOKUP(H11,Table1[Product],Table1[Order ID],"")</f>
        <v/>
      </c>
    </row>
    <row r="12" spans="1:11" x14ac:dyDescent="0.3">
      <c r="A12">
        <v>1009</v>
      </c>
      <c r="B12" t="s">
        <v>18</v>
      </c>
      <c r="C12" t="s">
        <v>10</v>
      </c>
      <c r="D12">
        <v>1</v>
      </c>
      <c r="E12">
        <v>120</v>
      </c>
      <c r="F12" s="13">
        <v>44977</v>
      </c>
      <c r="G12" s="14">
        <v>1008</v>
      </c>
    </row>
    <row r="13" spans="1:11" x14ac:dyDescent="0.3">
      <c r="G13" s="16">
        <v>1010</v>
      </c>
    </row>
    <row r="14" spans="1:11" x14ac:dyDescent="0.3">
      <c r="G14" s="14">
        <v>1009</v>
      </c>
    </row>
    <row r="16" spans="1:11" x14ac:dyDescent="0.3">
      <c r="A16" s="4" t="s">
        <v>0</v>
      </c>
      <c r="B16" s="7">
        <v>1003</v>
      </c>
      <c r="C16" s="7">
        <v>1002</v>
      </c>
      <c r="D16" s="7">
        <v>1001</v>
      </c>
      <c r="E16" s="7">
        <v>1004</v>
      </c>
      <c r="F16" s="7">
        <v>1005</v>
      </c>
      <c r="G16" s="7">
        <v>1006</v>
      </c>
      <c r="H16" s="7">
        <v>1007</v>
      </c>
      <c r="I16" s="7">
        <v>1008</v>
      </c>
      <c r="J16" s="7">
        <v>1010</v>
      </c>
      <c r="K16" s="7">
        <v>1009</v>
      </c>
    </row>
    <row r="17" spans="1:11" x14ac:dyDescent="0.3">
      <c r="A17" s="5" t="s">
        <v>1</v>
      </c>
      <c r="B17" s="7" t="s">
        <v>6</v>
      </c>
      <c r="C17" s="7" t="s">
        <v>8</v>
      </c>
      <c r="D17" s="7" t="s">
        <v>9</v>
      </c>
      <c r="E17" s="7" t="s">
        <v>11</v>
      </c>
      <c r="F17" s="7" t="s">
        <v>12</v>
      </c>
      <c r="G17" s="7" t="s">
        <v>13</v>
      </c>
      <c r="H17" s="7" t="s">
        <v>14</v>
      </c>
      <c r="I17" s="7" t="s">
        <v>16</v>
      </c>
      <c r="J17" s="7" t="s">
        <v>17</v>
      </c>
      <c r="K17" s="7" t="s">
        <v>18</v>
      </c>
    </row>
    <row r="18" spans="1:11" x14ac:dyDescent="0.3">
      <c r="A18" s="5" t="s">
        <v>2</v>
      </c>
      <c r="B18" s="7" t="s">
        <v>7</v>
      </c>
      <c r="C18" s="7" t="s">
        <v>7</v>
      </c>
      <c r="D18" s="7" t="s">
        <v>52</v>
      </c>
      <c r="E18" s="7" t="s">
        <v>10</v>
      </c>
      <c r="F18" s="7" t="s">
        <v>7</v>
      </c>
      <c r="G18" s="7" t="s">
        <v>7</v>
      </c>
      <c r="H18" s="7" t="s">
        <v>15</v>
      </c>
      <c r="I18" s="7" t="s">
        <v>10</v>
      </c>
      <c r="J18" s="7" t="s">
        <v>7</v>
      </c>
      <c r="K18" s="7" t="s">
        <v>10</v>
      </c>
    </row>
    <row r="19" spans="1:11" x14ac:dyDescent="0.3">
      <c r="A19" s="5" t="s">
        <v>3</v>
      </c>
      <c r="B19" s="7">
        <v>2</v>
      </c>
      <c r="C19" s="7">
        <v>1</v>
      </c>
      <c r="D19" s="7">
        <v>1</v>
      </c>
      <c r="E19" s="7">
        <v>4</v>
      </c>
      <c r="F19" s="7">
        <v>3</v>
      </c>
      <c r="G19" s="7">
        <v>2</v>
      </c>
      <c r="H19" s="7">
        <v>1</v>
      </c>
      <c r="I19" s="7">
        <v>2</v>
      </c>
      <c r="J19" s="7">
        <v>2</v>
      </c>
      <c r="K19" s="7">
        <v>1</v>
      </c>
    </row>
    <row r="20" spans="1:11" x14ac:dyDescent="0.3">
      <c r="A20" s="6" t="s">
        <v>4</v>
      </c>
      <c r="B20" s="7">
        <v>800</v>
      </c>
      <c r="C20" s="7">
        <v>300</v>
      </c>
      <c r="D20" s="7">
        <v>200</v>
      </c>
      <c r="E20" s="7">
        <v>50</v>
      </c>
      <c r="F20" s="7">
        <v>400</v>
      </c>
      <c r="G20" s="7">
        <v>250</v>
      </c>
      <c r="H20" s="7">
        <v>30</v>
      </c>
      <c r="I20" s="7">
        <v>150</v>
      </c>
      <c r="J20" s="7">
        <v>100</v>
      </c>
      <c r="K20" s="7">
        <v>120</v>
      </c>
    </row>
    <row r="21" spans="1:11" x14ac:dyDescent="0.3">
      <c r="A21" s="8" t="s">
        <v>5</v>
      </c>
      <c r="B21" s="7">
        <v>44931</v>
      </c>
      <c r="C21" s="7">
        <v>44936</v>
      </c>
      <c r="D21" s="7">
        <v>44941</v>
      </c>
      <c r="E21" s="7">
        <v>44946</v>
      </c>
      <c r="F21" s="7">
        <v>44951</v>
      </c>
      <c r="G21" s="7">
        <v>44958</v>
      </c>
      <c r="H21" s="7">
        <v>44962</v>
      </c>
      <c r="I21" s="7">
        <v>44967</v>
      </c>
      <c r="J21" s="7">
        <v>44972</v>
      </c>
      <c r="K21" s="7">
        <v>44977</v>
      </c>
    </row>
    <row r="24" spans="1:11" x14ac:dyDescent="0.3">
      <c r="E24" s="7" t="s">
        <v>22</v>
      </c>
      <c r="F24" s="7">
        <v>1001</v>
      </c>
      <c r="G24" s="7" t="str">
        <f>HLOOKUP(F24,B16:K21,3,0)</f>
        <v>m</v>
      </c>
    </row>
    <row r="26" spans="1:11" x14ac:dyDescent="0.3">
      <c r="D26" s="7">
        <v>1001</v>
      </c>
      <c r="E26">
        <f>HLOOKUP(D26,B16:I21,5,0)</f>
        <v>200</v>
      </c>
    </row>
    <row r="28" spans="1:11" x14ac:dyDescent="0.3">
      <c r="E28" t="str">
        <f>_xlfn.XLOOKUP(D26,B16:I16,B18:I18,"no",0)</f>
        <v>m</v>
      </c>
    </row>
    <row r="33" spans="2:4" x14ac:dyDescent="0.3">
      <c r="B33">
        <v>1</v>
      </c>
      <c r="C33">
        <v>5</v>
      </c>
      <c r="D33">
        <f>B33+C$33</f>
        <v>6</v>
      </c>
    </row>
    <row r="34" spans="2:4" x14ac:dyDescent="0.3">
      <c r="B34">
        <v>2</v>
      </c>
      <c r="D34">
        <f t="shared" ref="D34:D35" si="0">B34+C$33</f>
        <v>7</v>
      </c>
    </row>
    <row r="35" spans="2:4" x14ac:dyDescent="0.3">
      <c r="B35">
        <v>3</v>
      </c>
      <c r="D35">
        <f t="shared" si="0"/>
        <v>8</v>
      </c>
    </row>
  </sheetData>
  <dataValidations count="2">
    <dataValidation type="list" allowBlank="1" showInputMessage="1" showErrorMessage="1" sqref="I3:I5" xr:uid="{31B1FF90-90AE-4345-9305-25E82AB0FC62}">
      <formula1>$A$2:$A$12</formula1>
    </dataValidation>
    <dataValidation type="list" allowBlank="1" showInputMessage="1" showErrorMessage="1" sqref="H8" xr:uid="{172F6DC5-303B-4F69-8C6B-3AF9DC0EBCBC}">
      <formula1>$G$5:$G$14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A085-6DEA-406A-9621-242FF0E131B8}">
  <dimension ref="A1:O23"/>
  <sheetViews>
    <sheetView tabSelected="1" zoomScale="231" zoomScaleNormal="231" workbookViewId="0">
      <selection activeCell="D26" sqref="D26"/>
    </sheetView>
  </sheetViews>
  <sheetFormatPr defaultRowHeight="14.4" x14ac:dyDescent="0.3"/>
  <cols>
    <col min="1" max="1" width="10.21875" bestFit="1" customWidth="1"/>
    <col min="2" max="2" width="11.109375" bestFit="1" customWidth="1"/>
    <col min="3" max="3" width="13.88671875" bestFit="1" customWidth="1"/>
    <col min="4" max="4" width="10.5546875" bestFit="1" customWidth="1"/>
    <col min="5" max="5" width="16.77734375" bestFit="1" customWidth="1"/>
    <col min="6" max="6" width="12.33203125" bestFit="1" customWidth="1"/>
    <col min="7" max="7" width="13.88671875" bestFit="1" customWidth="1"/>
    <col min="9" max="9" width="36.88671875" bestFit="1" customWidth="1"/>
    <col min="10" max="10" width="11.109375" bestFit="1" customWidth="1"/>
    <col min="11" max="11" width="10.88671875" bestFit="1" customWidth="1"/>
    <col min="12" max="12" width="9.88671875" bestFit="1" customWidth="1"/>
  </cols>
  <sheetData>
    <row r="1" spans="1:15" x14ac:dyDescent="0.3">
      <c r="A1" s="19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21" t="s">
        <v>5</v>
      </c>
      <c r="H1">
        <v>1002</v>
      </c>
    </row>
    <row r="2" spans="1:15" x14ac:dyDescent="0.3">
      <c r="A2" s="17">
        <v>1001</v>
      </c>
      <c r="B2" s="17" t="s">
        <v>6</v>
      </c>
      <c r="C2" s="17" t="s">
        <v>7</v>
      </c>
      <c r="D2" s="17">
        <v>2</v>
      </c>
      <c r="E2" s="17">
        <v>800</v>
      </c>
      <c r="F2" s="17">
        <v>44931</v>
      </c>
      <c r="I2" t="str" cm="1">
        <f t="array" ref="I2:M2">VLOOKUP('Index+Match'!$A2,'Index+Match'!$A$2:$F$11,{2,3,4,5,6},0)</f>
        <v>Laptop</v>
      </c>
      <c r="J2" t="str">
        <v>Electronics</v>
      </c>
      <c r="K2">
        <v>2</v>
      </c>
      <c r="L2">
        <v>800</v>
      </c>
      <c r="M2">
        <v>44931</v>
      </c>
    </row>
    <row r="3" spans="1:15" x14ac:dyDescent="0.3">
      <c r="A3" s="18">
        <v>1002</v>
      </c>
      <c r="B3" s="18" t="s">
        <v>8</v>
      </c>
      <c r="C3" s="18" t="s">
        <v>7</v>
      </c>
      <c r="D3" s="18">
        <v>1</v>
      </c>
      <c r="E3" s="18">
        <v>300</v>
      </c>
      <c r="F3" s="18">
        <v>44936</v>
      </c>
      <c r="H3" s="10" t="s">
        <v>23</v>
      </c>
      <c r="I3" s="7"/>
      <c r="J3" s="7"/>
      <c r="K3" s="7"/>
      <c r="L3" s="7"/>
      <c r="M3" s="7"/>
      <c r="N3" s="7"/>
      <c r="O3" s="7"/>
    </row>
    <row r="4" spans="1:15" x14ac:dyDescent="0.3">
      <c r="A4" s="17">
        <v>1003</v>
      </c>
      <c r="B4" s="17" t="s">
        <v>9</v>
      </c>
      <c r="C4" s="17" t="s">
        <v>10</v>
      </c>
      <c r="D4" s="17">
        <v>1</v>
      </c>
      <c r="E4" s="17">
        <v>200</v>
      </c>
      <c r="F4" s="17">
        <v>44941</v>
      </c>
      <c r="H4" s="7" t="s">
        <v>24</v>
      </c>
      <c r="I4" s="7" t="s">
        <v>26</v>
      </c>
      <c r="J4" s="7" cm="1">
        <f t="array" ref="J4:O4">INDEX('Index+Match'!$A$2:$F$11,5,0)</f>
        <v>1005</v>
      </c>
      <c r="K4" s="7" t="str">
        <v>Smartphone</v>
      </c>
      <c r="L4" s="7" t="str">
        <v>Electronics</v>
      </c>
      <c r="M4" s="7">
        <v>3</v>
      </c>
      <c r="N4" s="7">
        <v>400</v>
      </c>
      <c r="O4" s="7">
        <v>44951</v>
      </c>
    </row>
    <row r="5" spans="1:15" x14ac:dyDescent="0.3">
      <c r="A5" s="18">
        <v>1008</v>
      </c>
      <c r="B5" s="18" t="s">
        <v>11</v>
      </c>
      <c r="C5" s="18" t="s">
        <v>10</v>
      </c>
      <c r="D5" s="18">
        <v>4</v>
      </c>
      <c r="E5" s="18">
        <v>50</v>
      </c>
      <c r="F5" s="18">
        <v>44946</v>
      </c>
      <c r="H5" s="7" t="s">
        <v>25</v>
      </c>
      <c r="I5" s="7" t="s">
        <v>27</v>
      </c>
      <c r="J5" s="7" t="str" cm="1">
        <f t="array" ref="J5:J14">INDEX('Index+Match'!$A$2:$F$11,0,2)</f>
        <v>Laptop</v>
      </c>
      <c r="K5" s="7"/>
      <c r="L5" s="7"/>
      <c r="M5" s="7"/>
      <c r="N5" s="7"/>
      <c r="O5" s="7"/>
    </row>
    <row r="6" spans="1:15" x14ac:dyDescent="0.3">
      <c r="A6" s="17">
        <v>1005</v>
      </c>
      <c r="B6" s="17" t="s">
        <v>12</v>
      </c>
      <c r="C6" s="17" t="s">
        <v>7</v>
      </c>
      <c r="D6" s="17">
        <v>3</v>
      </c>
      <c r="E6" s="17">
        <v>400</v>
      </c>
      <c r="F6" s="17">
        <v>44951</v>
      </c>
      <c r="H6" s="7"/>
      <c r="I6" s="7"/>
      <c r="J6" s="7" t="str">
        <v>Printer</v>
      </c>
      <c r="K6" s="7"/>
      <c r="L6" s="7"/>
      <c r="M6" s="7"/>
      <c r="N6" s="7"/>
      <c r="O6" s="7"/>
    </row>
    <row r="7" spans="1:15" x14ac:dyDescent="0.3">
      <c r="A7" s="18">
        <v>1006</v>
      </c>
      <c r="B7" s="18" t="s">
        <v>13</v>
      </c>
      <c r="C7" s="18" t="s">
        <v>7</v>
      </c>
      <c r="D7" s="18">
        <v>2</v>
      </c>
      <c r="E7" s="18">
        <v>250</v>
      </c>
      <c r="F7" s="18">
        <v>44958</v>
      </c>
      <c r="H7" s="7"/>
      <c r="I7" s="7"/>
      <c r="J7" s="7" t="str">
        <v>Desk</v>
      </c>
      <c r="K7" s="7"/>
      <c r="L7" s="7"/>
      <c r="M7" s="7"/>
      <c r="N7" s="7"/>
      <c r="O7" s="7"/>
    </row>
    <row r="8" spans="1:15" x14ac:dyDescent="0.3">
      <c r="A8" s="17">
        <v>1007</v>
      </c>
      <c r="B8" s="17" t="s">
        <v>14</v>
      </c>
      <c r="C8" s="17" t="s">
        <v>15</v>
      </c>
      <c r="D8" s="17">
        <v>1</v>
      </c>
      <c r="E8" s="17">
        <v>30</v>
      </c>
      <c r="F8" s="17">
        <v>44962</v>
      </c>
      <c r="H8" s="7"/>
      <c r="I8" s="7"/>
      <c r="J8" s="7" t="str">
        <v>Chair</v>
      </c>
      <c r="K8" s="7"/>
      <c r="L8" s="7"/>
      <c r="M8" s="7"/>
      <c r="N8" s="7"/>
      <c r="O8" s="7"/>
    </row>
    <row r="9" spans="1:15" x14ac:dyDescent="0.3">
      <c r="A9" s="18">
        <v>1004</v>
      </c>
      <c r="B9" s="18" t="s">
        <v>16</v>
      </c>
      <c r="C9" s="18" t="s">
        <v>10</v>
      </c>
      <c r="D9" s="18">
        <v>2</v>
      </c>
      <c r="E9" s="18">
        <v>150</v>
      </c>
      <c r="F9" s="18">
        <v>44967</v>
      </c>
      <c r="H9" s="7"/>
      <c r="I9" s="7"/>
      <c r="J9" s="7" t="str">
        <v>Smartphone</v>
      </c>
      <c r="K9" s="7"/>
      <c r="L9" s="7"/>
      <c r="M9" s="7"/>
      <c r="N9" s="7"/>
      <c r="O9" s="7"/>
    </row>
    <row r="10" spans="1:15" x14ac:dyDescent="0.3">
      <c r="A10" s="17">
        <v>1010</v>
      </c>
      <c r="B10" s="17" t="s">
        <v>17</v>
      </c>
      <c r="C10" s="17" t="s">
        <v>7</v>
      </c>
      <c r="D10" s="17">
        <v>2</v>
      </c>
      <c r="E10" s="17">
        <v>100</v>
      </c>
      <c r="F10" s="17">
        <v>44972</v>
      </c>
      <c r="H10" s="7"/>
      <c r="I10" s="7"/>
      <c r="J10" s="7" t="str">
        <v>Tablet</v>
      </c>
      <c r="K10" s="7"/>
      <c r="L10" s="7"/>
      <c r="M10" s="7"/>
      <c r="N10" s="7"/>
      <c r="O10" s="7"/>
    </row>
    <row r="11" spans="1:15" x14ac:dyDescent="0.3">
      <c r="A11" s="18">
        <v>1009</v>
      </c>
      <c r="B11" s="18" t="s">
        <v>18</v>
      </c>
      <c r="C11" s="18" t="s">
        <v>10</v>
      </c>
      <c r="D11" s="18">
        <v>1</v>
      </c>
      <c r="E11" s="18">
        <v>120</v>
      </c>
      <c r="F11" s="18">
        <v>44977</v>
      </c>
      <c r="H11" s="7"/>
      <c r="I11" s="7"/>
      <c r="J11" s="7" t="str">
        <v>Desk Lamp</v>
      </c>
      <c r="K11" s="7"/>
      <c r="L11" s="7"/>
      <c r="M11" s="7"/>
      <c r="N11" s="7"/>
      <c r="O11" s="7"/>
    </row>
    <row r="12" spans="1:15" x14ac:dyDescent="0.3">
      <c r="H12" s="7"/>
      <c r="I12" s="7"/>
      <c r="J12" s="7" t="str">
        <v>File Cabinet</v>
      </c>
      <c r="K12" s="7"/>
      <c r="L12" s="7"/>
      <c r="M12" s="7"/>
      <c r="N12" s="7"/>
      <c r="O12" s="7"/>
    </row>
    <row r="13" spans="1:15" x14ac:dyDescent="0.3">
      <c r="H13" s="7"/>
      <c r="I13" s="7"/>
      <c r="J13" s="7" t="str">
        <v>Headphones</v>
      </c>
      <c r="K13" s="7"/>
      <c r="L13" s="7"/>
      <c r="M13" s="7"/>
      <c r="N13" s="7"/>
      <c r="O13" s="7"/>
    </row>
    <row r="14" spans="1:15" x14ac:dyDescent="0.3">
      <c r="H14" s="7"/>
      <c r="I14" s="7"/>
      <c r="J14" s="7" t="str">
        <v>Bookshelf</v>
      </c>
      <c r="K14" s="7"/>
      <c r="L14" s="7"/>
      <c r="M14" s="7"/>
      <c r="N14" s="7"/>
      <c r="O14" s="7"/>
    </row>
    <row r="15" spans="1:15" x14ac:dyDescent="0.3">
      <c r="D15">
        <v>1007</v>
      </c>
      <c r="E15" s="22" t="s">
        <v>4</v>
      </c>
      <c r="F15">
        <f>INDEX('Index+Match'!$A$2:$F$11,MATCH(D15,'Index+Match'!$A$2:$A$11,0),MATCH(E15,Table3[#Headers],0))</f>
        <v>30</v>
      </c>
      <c r="H15" s="7"/>
      <c r="I15" s="7"/>
      <c r="J15" s="7"/>
      <c r="K15" s="7"/>
      <c r="L15" s="7"/>
      <c r="M15" s="7"/>
      <c r="N15" s="7"/>
      <c r="O15" s="7"/>
    </row>
    <row r="16" spans="1:15" x14ac:dyDescent="0.3">
      <c r="H16" s="7" t="s">
        <v>28</v>
      </c>
      <c r="I16" s="7" t="s">
        <v>31</v>
      </c>
      <c r="J16" s="7" t="str">
        <f>INDEX('Index+Match'!$A$2:$F$11,2,3)</f>
        <v>Electronics</v>
      </c>
      <c r="K16" s="7"/>
      <c r="L16" s="7"/>
      <c r="M16" s="7"/>
      <c r="N16" s="7"/>
      <c r="O16" s="7"/>
    </row>
    <row r="17" spans="2:15" x14ac:dyDescent="0.3">
      <c r="B17">
        <f>MATCH(D15,'Index+Match'!$A$2:$A$11,0)</f>
        <v>7</v>
      </c>
      <c r="D17" t="str">
        <f>INDEX('Index+Match'!$A$2:$C$11,3,3)</f>
        <v>Office Furniture</v>
      </c>
      <c r="H17" s="7" t="s">
        <v>30</v>
      </c>
      <c r="I17" s="7" t="s">
        <v>32</v>
      </c>
      <c r="J17" s="7">
        <f>INDEX('Index+Match'!$A$2:$A$11,5)</f>
        <v>1005</v>
      </c>
      <c r="K17" s="7"/>
      <c r="L17" s="7"/>
      <c r="M17" s="7"/>
      <c r="N17" s="7"/>
      <c r="O17" s="7"/>
    </row>
    <row r="18" spans="2:15" x14ac:dyDescent="0.3">
      <c r="H18" s="7" t="s">
        <v>33</v>
      </c>
      <c r="I18" s="7" t="s">
        <v>32</v>
      </c>
      <c r="J18" s="7" t="str" cm="1">
        <f t="array" ref="J18">INDEX(A2:F2,0,3)</f>
        <v>Electronics</v>
      </c>
      <c r="K18" s="7"/>
      <c r="L18" s="7"/>
      <c r="M18" s="7"/>
      <c r="N18" s="7"/>
      <c r="O18" s="7"/>
    </row>
    <row r="19" spans="2:15" x14ac:dyDescent="0.3">
      <c r="G19" s="9"/>
    </row>
    <row r="20" spans="2:15" x14ac:dyDescent="0.3">
      <c r="G20" s="9" t="s">
        <v>10</v>
      </c>
      <c r="H20" s="11" t="s">
        <v>29</v>
      </c>
      <c r="I20" t="s">
        <v>34</v>
      </c>
      <c r="J20">
        <f>MATCH(G20,'Index+Match'!$C$2:$C$11,0)</f>
        <v>3</v>
      </c>
    </row>
    <row r="21" spans="2:15" x14ac:dyDescent="0.3">
      <c r="E21">
        <f>INDEX('Index+Match'!$A$2:$F$11,MATCH(1006,'Index+Match'!$A$2:$A$11,0),4)</f>
        <v>2</v>
      </c>
      <c r="H21">
        <f>MATCH(1001,'Index+Match'!$A$2:$A$11,)</f>
        <v>1</v>
      </c>
    </row>
    <row r="23" spans="2:15" x14ac:dyDescent="0.3">
      <c r="C23" t="str" cm="1">
        <f t="array" ref="C23:D23">INDEX(Table3[], MATCH(D15, INDEX(Table3[],,1), 0), {2,5})</f>
        <v>Desk Lamp</v>
      </c>
      <c r="D23">
        <v>30</v>
      </c>
    </row>
  </sheetData>
  <dataValidations count="2">
    <dataValidation type="list" allowBlank="1" showInputMessage="1" showErrorMessage="1" sqref="D15" xr:uid="{D8D3F399-8293-4114-B3D4-B46D6B090192}">
      <formula1>$A$2:$A$11</formula1>
    </dataValidation>
    <dataValidation type="list" allowBlank="1" showInputMessage="1" showErrorMessage="1" sqref="E15" xr:uid="{771A1E5A-8DE2-4158-BCA0-D88BFA993BB0}">
      <formula1>$A$1:$F$1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14DE-E98F-495B-8BD7-BC2DD7A35E1E}">
  <dimension ref="B4:Z51"/>
  <sheetViews>
    <sheetView topLeftCell="J43" zoomScale="208" zoomScaleNormal="208" workbookViewId="0">
      <selection activeCell="Q44" sqref="Q44"/>
    </sheetView>
  </sheetViews>
  <sheetFormatPr defaultRowHeight="14.4" x14ac:dyDescent="0.3"/>
  <cols>
    <col min="2" max="2" width="10.21875" bestFit="1" customWidth="1"/>
    <col min="3" max="3" width="11.21875" bestFit="1" customWidth="1"/>
    <col min="4" max="4" width="14" bestFit="1" customWidth="1"/>
    <col min="5" max="5" width="10.5546875" bestFit="1" customWidth="1"/>
    <col min="6" max="6" width="16.77734375" bestFit="1" customWidth="1"/>
    <col min="7" max="7" width="12.33203125" bestFit="1" customWidth="1"/>
    <col min="8" max="8" width="10.77734375" bestFit="1" customWidth="1"/>
    <col min="10" max="10" width="11.21875" bestFit="1" customWidth="1"/>
    <col min="11" max="11" width="13.109375" bestFit="1" customWidth="1"/>
    <col min="12" max="12" width="11.21875" bestFit="1" customWidth="1"/>
    <col min="13" max="13" width="14" bestFit="1" customWidth="1"/>
    <col min="14" max="14" width="2" bestFit="1" customWidth="1"/>
    <col min="15" max="15" width="4" bestFit="1" customWidth="1"/>
    <col min="16" max="16" width="6" bestFit="1" customWidth="1"/>
    <col min="17" max="17" width="5" bestFit="1" customWidth="1"/>
    <col min="18" max="18" width="6.44140625" bestFit="1" customWidth="1"/>
    <col min="19" max="19" width="6.21875" bestFit="1" customWidth="1"/>
    <col min="20" max="20" width="6.109375" bestFit="1" customWidth="1"/>
    <col min="21" max="21" width="11.21875" bestFit="1" customWidth="1"/>
    <col min="22" max="22" width="14" bestFit="1" customWidth="1"/>
    <col min="23" max="23" width="2" bestFit="1" customWidth="1"/>
    <col min="24" max="24" width="4" bestFit="1" customWidth="1"/>
    <col min="25" max="25" width="6" bestFit="1" customWidth="1"/>
    <col min="26" max="26" width="6.109375" bestFit="1" customWidth="1"/>
  </cols>
  <sheetData>
    <row r="4" spans="2:26" x14ac:dyDescent="0.3">
      <c r="B4" s="1" t="s">
        <v>0</v>
      </c>
      <c r="C4" s="1" t="s">
        <v>1</v>
      </c>
      <c r="D4" s="1" t="s">
        <v>2</v>
      </c>
      <c r="E4" s="1" t="s">
        <v>3</v>
      </c>
      <c r="F4" s="2" t="s">
        <v>4</v>
      </c>
      <c r="G4" s="3" t="s">
        <v>5</v>
      </c>
      <c r="H4" s="1" t="s">
        <v>49</v>
      </c>
    </row>
    <row r="5" spans="2:26" x14ac:dyDescent="0.3">
      <c r="B5">
        <v>1010</v>
      </c>
      <c r="C5" t="s">
        <v>17</v>
      </c>
      <c r="D5" t="s">
        <v>7</v>
      </c>
      <c r="E5">
        <v>2</v>
      </c>
      <c r="F5">
        <v>100</v>
      </c>
      <c r="G5">
        <v>44972</v>
      </c>
      <c r="J5" s="12" t="s">
        <v>35</v>
      </c>
      <c r="S5" s="12" t="s">
        <v>38</v>
      </c>
    </row>
    <row r="6" spans="2:26" x14ac:dyDescent="0.3">
      <c r="B6">
        <v>1009</v>
      </c>
      <c r="C6" t="s">
        <v>18</v>
      </c>
      <c r="D6" t="s">
        <v>10</v>
      </c>
      <c r="E6">
        <v>1</v>
      </c>
      <c r="F6">
        <v>120</v>
      </c>
      <c r="G6">
        <v>44977</v>
      </c>
      <c r="J6" s="12" t="s">
        <v>2</v>
      </c>
      <c r="K6" s="7" t="str" cm="1">
        <f t="array" ref="K6">_xlfn._xlws.FILTER(Table13[],Table13[Product]=H7,"No data Found")</f>
        <v>No data Found</v>
      </c>
      <c r="L6" s="7"/>
      <c r="M6" s="7"/>
      <c r="N6" s="7"/>
      <c r="O6" s="7"/>
      <c r="P6" s="7"/>
      <c r="T6" t="str">
        <f ca="1">OFFSET(V4,1,-3)</f>
        <v>Offset</v>
      </c>
      <c r="V6" t="str">
        <f ca="1">OFFSET(S8,-3,0)</f>
        <v>Offset</v>
      </c>
    </row>
    <row r="7" spans="2:26" x14ac:dyDescent="0.3">
      <c r="B7">
        <v>1008</v>
      </c>
      <c r="C7" t="s">
        <v>16</v>
      </c>
      <c r="D7" t="s">
        <v>10</v>
      </c>
      <c r="E7">
        <v>2</v>
      </c>
      <c r="F7">
        <v>150</v>
      </c>
      <c r="G7">
        <v>44967</v>
      </c>
      <c r="J7" s="12" t="s">
        <v>15</v>
      </c>
      <c r="K7" s="7"/>
      <c r="L7" s="7"/>
      <c r="M7" s="7"/>
      <c r="N7" s="7"/>
      <c r="O7" s="7"/>
      <c r="P7" s="7"/>
    </row>
    <row r="8" spans="2:26" x14ac:dyDescent="0.3">
      <c r="B8">
        <v>1007</v>
      </c>
      <c r="C8" t="s">
        <v>14</v>
      </c>
      <c r="D8" t="s">
        <v>15</v>
      </c>
      <c r="E8">
        <v>1</v>
      </c>
      <c r="F8">
        <v>30</v>
      </c>
      <c r="G8">
        <v>44962</v>
      </c>
      <c r="K8" s="7"/>
      <c r="L8" s="7"/>
      <c r="M8" s="7"/>
      <c r="N8" s="7"/>
      <c r="O8" s="7"/>
      <c r="P8" s="7"/>
    </row>
    <row r="9" spans="2:26" x14ac:dyDescent="0.3">
      <c r="B9">
        <v>1006</v>
      </c>
      <c r="C9" t="s">
        <v>13</v>
      </c>
      <c r="D9" t="s">
        <v>7</v>
      </c>
      <c r="E9">
        <v>2</v>
      </c>
      <c r="F9">
        <v>250</v>
      </c>
      <c r="G9">
        <v>44958</v>
      </c>
      <c r="K9" s="7"/>
      <c r="L9" s="7"/>
      <c r="M9" s="7"/>
      <c r="N9" s="7"/>
      <c r="O9" s="7"/>
      <c r="P9" s="7"/>
    </row>
    <row r="10" spans="2:26" x14ac:dyDescent="0.3">
      <c r="B10">
        <v>1005</v>
      </c>
      <c r="C10" t="s">
        <v>12</v>
      </c>
      <c r="D10" t="s">
        <v>7</v>
      </c>
      <c r="E10">
        <v>3</v>
      </c>
      <c r="F10">
        <v>400</v>
      </c>
      <c r="G10">
        <v>44951</v>
      </c>
      <c r="K10" s="7"/>
      <c r="L10" s="7"/>
      <c r="M10" s="7"/>
      <c r="N10" s="7"/>
      <c r="O10" s="7"/>
      <c r="P10" s="7"/>
      <c r="V10" t="str">
        <f ca="1">OFFSET(U11,-6,-2)</f>
        <v>Offset</v>
      </c>
    </row>
    <row r="11" spans="2:26" x14ac:dyDescent="0.3">
      <c r="B11">
        <v>1004</v>
      </c>
      <c r="C11" t="s">
        <v>11</v>
      </c>
      <c r="D11" t="s">
        <v>10</v>
      </c>
      <c r="E11">
        <v>4</v>
      </c>
      <c r="F11">
        <v>50</v>
      </c>
      <c r="G11">
        <v>44946</v>
      </c>
      <c r="U11" s="12"/>
    </row>
    <row r="12" spans="2:26" x14ac:dyDescent="0.3">
      <c r="B12">
        <v>1003</v>
      </c>
      <c r="C12" t="s">
        <v>6</v>
      </c>
      <c r="D12" t="s">
        <v>7</v>
      </c>
      <c r="E12">
        <v>2</v>
      </c>
      <c r="F12">
        <v>800</v>
      </c>
      <c r="G12">
        <v>44931</v>
      </c>
    </row>
    <row r="13" spans="2:26" x14ac:dyDescent="0.3">
      <c r="B13">
        <v>1003</v>
      </c>
      <c r="C13" t="s">
        <v>9</v>
      </c>
      <c r="D13" t="s">
        <v>10</v>
      </c>
      <c r="E13">
        <v>1</v>
      </c>
      <c r="F13">
        <v>200</v>
      </c>
      <c r="G13">
        <v>44941</v>
      </c>
      <c r="H13" t="s">
        <v>13</v>
      </c>
    </row>
    <row r="14" spans="2:26" x14ac:dyDescent="0.3">
      <c r="B14">
        <v>1002</v>
      </c>
      <c r="C14" t="s">
        <v>8</v>
      </c>
      <c r="D14" t="s">
        <v>7</v>
      </c>
      <c r="E14">
        <v>1</v>
      </c>
      <c r="F14">
        <v>300</v>
      </c>
      <c r="G14">
        <v>44936</v>
      </c>
    </row>
    <row r="15" spans="2:26" x14ac:dyDescent="0.3">
      <c r="J15" s="12" t="s">
        <v>36</v>
      </c>
      <c r="S15" s="12" t="s">
        <v>37</v>
      </c>
    </row>
    <row r="16" spans="2:26" x14ac:dyDescent="0.3">
      <c r="K16" s="7" cm="1">
        <f t="array" ref="K16:P25">_xlfn._xlws.SORT(Table13[[Order ID]:[Order Date]],2,1)</f>
        <v>1009</v>
      </c>
      <c r="L16" s="7" t="str">
        <v>Bookshelf</v>
      </c>
      <c r="M16" s="7" t="str">
        <v>Office Furniture</v>
      </c>
      <c r="N16" s="7">
        <v>1</v>
      </c>
      <c r="O16" s="7">
        <v>120</v>
      </c>
      <c r="P16" s="7">
        <v>44977</v>
      </c>
      <c r="T16" s="7" cm="1">
        <f t="array" ref="T16:Z25">_xlfn.SORTBY(Table13[],Table13[Order ID],1,Table13[Product],1)</f>
        <v>1002</v>
      </c>
      <c r="U16" s="7" t="str">
        <v>Printer</v>
      </c>
      <c r="V16" s="7" t="str">
        <v>Electronics</v>
      </c>
      <c r="W16" s="7">
        <v>1</v>
      </c>
      <c r="X16" s="7">
        <v>300</v>
      </c>
      <c r="Y16" s="7">
        <v>44936</v>
      </c>
      <c r="Z16">
        <v>0</v>
      </c>
    </row>
    <row r="17" spans="11:26" x14ac:dyDescent="0.3">
      <c r="K17" s="7">
        <v>1004</v>
      </c>
      <c r="L17" s="7" t="str">
        <v>Chair</v>
      </c>
      <c r="M17" s="7" t="str">
        <v>Office Furniture</v>
      </c>
      <c r="N17" s="7">
        <v>4</v>
      </c>
      <c r="O17" s="7">
        <v>50</v>
      </c>
      <c r="P17" s="7">
        <v>44946</v>
      </c>
      <c r="T17" s="7">
        <v>1003</v>
      </c>
      <c r="U17" s="7" t="str">
        <v>Desk</v>
      </c>
      <c r="V17" s="7" t="str">
        <v>Office Furniture</v>
      </c>
      <c r="W17" s="7">
        <v>1</v>
      </c>
      <c r="X17" s="7">
        <v>200</v>
      </c>
      <c r="Y17" s="7">
        <v>44941</v>
      </c>
      <c r="Z17" t="str">
        <v>Tablet</v>
      </c>
    </row>
    <row r="18" spans="11:26" x14ac:dyDescent="0.3">
      <c r="K18" s="7">
        <v>1003</v>
      </c>
      <c r="L18" s="7" t="str">
        <v>Desk</v>
      </c>
      <c r="M18" s="7" t="str">
        <v>Office Furniture</v>
      </c>
      <c r="N18" s="7">
        <v>1</v>
      </c>
      <c r="O18" s="7">
        <v>200</v>
      </c>
      <c r="P18" s="7">
        <v>44941</v>
      </c>
      <c r="T18" s="7">
        <v>1003</v>
      </c>
      <c r="U18" s="7" t="str">
        <v>Laptop</v>
      </c>
      <c r="V18" s="7" t="str">
        <v>Electronics</v>
      </c>
      <c r="W18" s="7">
        <v>2</v>
      </c>
      <c r="X18" s="7">
        <v>800</v>
      </c>
      <c r="Y18" s="7">
        <v>44931</v>
      </c>
      <c r="Z18">
        <v>0</v>
      </c>
    </row>
    <row r="19" spans="11:26" x14ac:dyDescent="0.3">
      <c r="K19" s="7">
        <v>1007</v>
      </c>
      <c r="L19" s="7" t="str">
        <v>Desk Lamp</v>
      </c>
      <c r="M19" s="7" t="str">
        <v>Home Decor</v>
      </c>
      <c r="N19" s="7">
        <v>1</v>
      </c>
      <c r="O19" s="7">
        <v>30</v>
      </c>
      <c r="P19" s="7">
        <v>44962</v>
      </c>
      <c r="T19" s="7">
        <v>1004</v>
      </c>
      <c r="U19" s="7" t="str">
        <v>Chair</v>
      </c>
      <c r="V19" s="7" t="str">
        <v>Office Furniture</v>
      </c>
      <c r="W19" s="7">
        <v>4</v>
      </c>
      <c r="X19" s="7">
        <v>50</v>
      </c>
      <c r="Y19" s="7">
        <v>44946</v>
      </c>
      <c r="Z19">
        <v>0</v>
      </c>
    </row>
    <row r="20" spans="11:26" x14ac:dyDescent="0.3">
      <c r="K20" s="7">
        <v>1008</v>
      </c>
      <c r="L20" s="7" t="str">
        <v>File Cabinet</v>
      </c>
      <c r="M20" s="7" t="str">
        <v>Office Furniture</v>
      </c>
      <c r="N20" s="7">
        <v>2</v>
      </c>
      <c r="O20" s="7">
        <v>150</v>
      </c>
      <c r="P20" s="7">
        <v>44967</v>
      </c>
      <c r="T20" s="7">
        <v>1005</v>
      </c>
      <c r="U20" s="7" t="str">
        <v>Smartphone</v>
      </c>
      <c r="V20" s="7" t="str">
        <v>Electronics</v>
      </c>
      <c r="W20" s="7">
        <v>3</v>
      </c>
      <c r="X20" s="7">
        <v>400</v>
      </c>
      <c r="Y20" s="7">
        <v>44951</v>
      </c>
      <c r="Z20">
        <v>0</v>
      </c>
    </row>
    <row r="21" spans="11:26" x14ac:dyDescent="0.3">
      <c r="K21" s="7">
        <v>1010</v>
      </c>
      <c r="L21" s="7" t="str">
        <v>Headphones</v>
      </c>
      <c r="M21" s="7" t="str">
        <v>Electronics</v>
      </c>
      <c r="N21" s="7">
        <v>2</v>
      </c>
      <c r="O21" s="7">
        <v>100</v>
      </c>
      <c r="P21" s="7">
        <v>44972</v>
      </c>
      <c r="T21" s="7">
        <v>1006</v>
      </c>
      <c r="U21" s="7" t="str">
        <v>Tablet</v>
      </c>
      <c r="V21" s="7" t="str">
        <v>Electronics</v>
      </c>
      <c r="W21" s="7">
        <v>2</v>
      </c>
      <c r="X21" s="7">
        <v>250</v>
      </c>
      <c r="Y21" s="7">
        <v>44958</v>
      </c>
      <c r="Z21">
        <v>0</v>
      </c>
    </row>
    <row r="22" spans="11:26" x14ac:dyDescent="0.3">
      <c r="K22" s="7">
        <v>1003</v>
      </c>
      <c r="L22" s="7" t="str">
        <v>Laptop</v>
      </c>
      <c r="M22" s="7" t="str">
        <v>Electronics</v>
      </c>
      <c r="N22" s="7">
        <v>2</v>
      </c>
      <c r="O22" s="7">
        <v>800</v>
      </c>
      <c r="P22" s="7">
        <v>44931</v>
      </c>
      <c r="T22" s="7">
        <v>1007</v>
      </c>
      <c r="U22" s="7" t="str">
        <v>Desk Lamp</v>
      </c>
      <c r="V22" s="7" t="str">
        <v>Home Decor</v>
      </c>
      <c r="W22" s="7">
        <v>1</v>
      </c>
      <c r="X22" s="7">
        <v>30</v>
      </c>
      <c r="Y22" s="7">
        <v>44962</v>
      </c>
      <c r="Z22">
        <v>0</v>
      </c>
    </row>
    <row r="23" spans="11:26" x14ac:dyDescent="0.3">
      <c r="K23" s="7">
        <v>1002</v>
      </c>
      <c r="L23" s="7" t="str">
        <v>Printer</v>
      </c>
      <c r="M23" s="7" t="str">
        <v>Electronics</v>
      </c>
      <c r="N23" s="7">
        <v>1</v>
      </c>
      <c r="O23" s="7">
        <v>300</v>
      </c>
      <c r="P23" s="7">
        <v>44936</v>
      </c>
      <c r="T23" s="7">
        <v>1008</v>
      </c>
      <c r="U23" s="7" t="str">
        <v>File Cabinet</v>
      </c>
      <c r="V23" s="7" t="str">
        <v>Office Furniture</v>
      </c>
      <c r="W23" s="7">
        <v>2</v>
      </c>
      <c r="X23" s="7">
        <v>150</v>
      </c>
      <c r="Y23" s="7">
        <v>44967</v>
      </c>
      <c r="Z23">
        <v>0</v>
      </c>
    </row>
    <row r="24" spans="11:26" x14ac:dyDescent="0.3">
      <c r="K24" s="7">
        <v>1005</v>
      </c>
      <c r="L24" s="7" t="str">
        <v>Smartphone</v>
      </c>
      <c r="M24" s="7" t="str">
        <v>Electronics</v>
      </c>
      <c r="N24" s="7">
        <v>3</v>
      </c>
      <c r="O24" s="7">
        <v>400</v>
      </c>
      <c r="P24" s="7">
        <v>44951</v>
      </c>
      <c r="T24" s="7">
        <v>1009</v>
      </c>
      <c r="U24" s="7" t="str">
        <v>Bookshelf</v>
      </c>
      <c r="V24" s="7" t="str">
        <v>Office Furniture</v>
      </c>
      <c r="W24" s="7">
        <v>1</v>
      </c>
      <c r="X24" s="7">
        <v>120</v>
      </c>
      <c r="Y24" s="7">
        <v>44977</v>
      </c>
      <c r="Z24">
        <v>0</v>
      </c>
    </row>
    <row r="25" spans="11:26" x14ac:dyDescent="0.3">
      <c r="K25" s="7">
        <v>1006</v>
      </c>
      <c r="L25" s="7" t="str">
        <v>Tablet</v>
      </c>
      <c r="M25" s="7" t="str">
        <v>Electronics</v>
      </c>
      <c r="N25" s="7">
        <v>2</v>
      </c>
      <c r="O25" s="7">
        <v>250</v>
      </c>
      <c r="P25" s="7">
        <v>44958</v>
      </c>
      <c r="T25" s="7">
        <v>1010</v>
      </c>
      <c r="U25" s="7" t="str">
        <v>Headphones</v>
      </c>
      <c r="V25" s="7" t="str">
        <v>Electronics</v>
      </c>
      <c r="W25" s="7">
        <v>2</v>
      </c>
      <c r="X25" s="7">
        <v>100</v>
      </c>
      <c r="Y25" s="7">
        <v>44972</v>
      </c>
      <c r="Z25">
        <v>0</v>
      </c>
    </row>
    <row r="42" spans="11:22" x14ac:dyDescent="0.3">
      <c r="K42">
        <v>1009</v>
      </c>
      <c r="L42" t="s">
        <v>18</v>
      </c>
      <c r="M42" t="s">
        <v>10</v>
      </c>
      <c r="N42">
        <v>1</v>
      </c>
      <c r="O42">
        <v>120</v>
      </c>
      <c r="P42">
        <v>44977</v>
      </c>
      <c r="Q42">
        <v>1002</v>
      </c>
      <c r="R42" t="str">
        <f t="array" ref="R42:V42">INDEX(K42:P51,MATCH(Q42,K42:K51,0),{2,3,4,5,6})</f>
        <v>Printer</v>
      </c>
      <c r="S42" t="str">
        <v>Electronics</v>
      </c>
      <c r="T42">
        <v>1</v>
      </c>
      <c r="U42">
        <v>300</v>
      </c>
      <c r="V42">
        <v>44936</v>
      </c>
    </row>
    <row r="43" spans="11:22" x14ac:dyDescent="0.3">
      <c r="K43">
        <v>1004</v>
      </c>
      <c r="L43" t="s">
        <v>11</v>
      </c>
      <c r="M43" t="s">
        <v>10</v>
      </c>
      <c r="N43">
        <v>4</v>
      </c>
      <c r="O43">
        <v>50</v>
      </c>
      <c r="P43">
        <v>44946</v>
      </c>
    </row>
    <row r="44" spans="11:22" x14ac:dyDescent="0.3">
      <c r="K44">
        <v>1003</v>
      </c>
      <c r="L44" t="s">
        <v>9</v>
      </c>
      <c r="M44" t="s">
        <v>10</v>
      </c>
      <c r="N44">
        <v>1</v>
      </c>
      <c r="O44">
        <v>200</v>
      </c>
      <c r="P44">
        <v>44941</v>
      </c>
      <c r="Q44">
        <f t="array" ref="Q44:Q51">N44:N51*O44:O51</f>
        <v>200</v>
      </c>
      <c r="R44">
        <v>200</v>
      </c>
      <c r="S44">
        <f t="array" ref="S44">SUM(LARGE(R44:R51,{1,2,3}))</f>
        <v>3300</v>
      </c>
    </row>
    <row r="45" spans="11:22" x14ac:dyDescent="0.3">
      <c r="K45">
        <v>1007</v>
      </c>
      <c r="L45" t="s">
        <v>14</v>
      </c>
      <c r="M45" t="s">
        <v>15</v>
      </c>
      <c r="N45">
        <v>1</v>
      </c>
      <c r="O45">
        <v>30</v>
      </c>
      <c r="P45">
        <v>44962</v>
      </c>
      <c r="Q45">
        <v>30</v>
      </c>
      <c r="R45">
        <v>30</v>
      </c>
    </row>
    <row r="46" spans="11:22" x14ac:dyDescent="0.3">
      <c r="K46">
        <v>1008</v>
      </c>
      <c r="L46" t="s">
        <v>16</v>
      </c>
      <c r="M46" t="s">
        <v>10</v>
      </c>
      <c r="N46">
        <v>2</v>
      </c>
      <c r="O46">
        <v>150</v>
      </c>
      <c r="P46">
        <v>44967</v>
      </c>
      <c r="Q46">
        <v>300</v>
      </c>
      <c r="R46">
        <v>300</v>
      </c>
    </row>
    <row r="47" spans="11:22" x14ac:dyDescent="0.3">
      <c r="K47">
        <v>1010</v>
      </c>
      <c r="L47" t="s">
        <v>17</v>
      </c>
      <c r="M47" t="s">
        <v>7</v>
      </c>
      <c r="N47">
        <v>2</v>
      </c>
      <c r="O47">
        <v>100</v>
      </c>
      <c r="P47">
        <v>44972</v>
      </c>
      <c r="Q47">
        <v>200</v>
      </c>
      <c r="R47">
        <v>200</v>
      </c>
    </row>
    <row r="48" spans="11:22" x14ac:dyDescent="0.3">
      <c r="K48">
        <v>1003</v>
      </c>
      <c r="L48" t="s">
        <v>6</v>
      </c>
      <c r="M48" t="s">
        <v>7</v>
      </c>
      <c r="N48">
        <v>2</v>
      </c>
      <c r="O48">
        <v>800</v>
      </c>
      <c r="P48">
        <v>44931</v>
      </c>
      <c r="Q48">
        <v>1600</v>
      </c>
      <c r="R48">
        <v>1600</v>
      </c>
    </row>
    <row r="49" spans="11:18" x14ac:dyDescent="0.3">
      <c r="K49">
        <v>1002</v>
      </c>
      <c r="L49" t="s">
        <v>8</v>
      </c>
      <c r="M49" t="s">
        <v>7</v>
      </c>
      <c r="N49">
        <v>1</v>
      </c>
      <c r="O49">
        <v>300</v>
      </c>
      <c r="P49">
        <v>44936</v>
      </c>
      <c r="Q49">
        <v>300</v>
      </c>
      <c r="R49">
        <v>300</v>
      </c>
    </row>
    <row r="50" spans="11:18" x14ac:dyDescent="0.3">
      <c r="K50">
        <v>1005</v>
      </c>
      <c r="L50" t="s">
        <v>12</v>
      </c>
      <c r="M50" t="s">
        <v>7</v>
      </c>
      <c r="N50">
        <v>3</v>
      </c>
      <c r="O50">
        <v>400</v>
      </c>
      <c r="P50">
        <v>44951</v>
      </c>
      <c r="Q50">
        <v>1200</v>
      </c>
      <c r="R50">
        <v>1200</v>
      </c>
    </row>
    <row r="51" spans="11:18" x14ac:dyDescent="0.3">
      <c r="K51">
        <v>1006</v>
      </c>
      <c r="L51" t="s">
        <v>13</v>
      </c>
      <c r="M51" t="s">
        <v>7</v>
      </c>
      <c r="N51">
        <v>2</v>
      </c>
      <c r="O51">
        <v>250</v>
      </c>
      <c r="P51">
        <v>44958</v>
      </c>
      <c r="Q51">
        <v>500</v>
      </c>
      <c r="R51">
        <v>500</v>
      </c>
    </row>
  </sheetData>
  <dataValidations count="2">
    <dataValidation type="list" allowBlank="1" showInputMessage="1" showErrorMessage="1" sqref="J7" xr:uid="{78854529-3732-479D-B13B-F52C68964534}">
      <formula1>$D$5:$D$14</formula1>
    </dataValidation>
    <dataValidation type="list" allowBlank="1" showInputMessage="1" showErrorMessage="1" sqref="H7" xr:uid="{A70D1C3E-57F6-4DEF-BFF8-C1BED0700D7D}">
      <formula1>$C$5:$C$14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05D4-E1E1-48B7-965C-4925664A53DB}">
  <dimension ref="D5:L11"/>
  <sheetViews>
    <sheetView topLeftCell="B3" zoomScale="194" zoomScaleNormal="194" workbookViewId="0">
      <selection activeCell="G5" sqref="G5"/>
    </sheetView>
  </sheetViews>
  <sheetFormatPr defaultRowHeight="14.4" x14ac:dyDescent="0.3"/>
  <sheetData>
    <row r="5" spans="4:12" x14ac:dyDescent="0.3">
      <c r="D5" s="12">
        <v>1</v>
      </c>
      <c r="E5" s="12" t="s">
        <v>39</v>
      </c>
      <c r="G5">
        <v>1</v>
      </c>
      <c r="H5" t="s">
        <v>39</v>
      </c>
      <c r="I5">
        <v>1</v>
      </c>
      <c r="K5" s="7">
        <v>1</v>
      </c>
      <c r="L5" s="7" t="s">
        <v>39</v>
      </c>
    </row>
    <row r="6" spans="4:12" x14ac:dyDescent="0.3">
      <c r="D6" s="12">
        <v>2</v>
      </c>
      <c r="E6" s="12" t="s">
        <v>42</v>
      </c>
      <c r="G6">
        <v>2</v>
      </c>
      <c r="H6" t="s">
        <v>45</v>
      </c>
      <c r="I6">
        <v>2</v>
      </c>
      <c r="K6" s="7">
        <v>2</v>
      </c>
      <c r="L6" s="7" t="s">
        <v>42</v>
      </c>
    </row>
    <row r="7" spans="4:12" x14ac:dyDescent="0.3">
      <c r="D7">
        <v>3</v>
      </c>
      <c r="E7" t="s">
        <v>40</v>
      </c>
      <c r="G7">
        <v>3</v>
      </c>
      <c r="H7" t="s">
        <v>46</v>
      </c>
      <c r="I7">
        <v>3</v>
      </c>
      <c r="K7" s="7">
        <v>3</v>
      </c>
      <c r="L7" s="7" t="s">
        <v>40</v>
      </c>
    </row>
    <row r="8" spans="4:12" x14ac:dyDescent="0.3">
      <c r="D8">
        <v>4</v>
      </c>
      <c r="E8" t="s">
        <v>41</v>
      </c>
      <c r="G8">
        <v>5</v>
      </c>
      <c r="H8" t="s">
        <v>43</v>
      </c>
      <c r="I8">
        <v>5</v>
      </c>
      <c r="K8" s="7">
        <v>4</v>
      </c>
      <c r="L8" s="7" t="s">
        <v>41</v>
      </c>
    </row>
    <row r="9" spans="4:12" x14ac:dyDescent="0.3">
      <c r="D9">
        <v>35</v>
      </c>
      <c r="E9" t="s">
        <v>42</v>
      </c>
      <c r="G9">
        <v>6</v>
      </c>
      <c r="H9" t="s">
        <v>47</v>
      </c>
      <c r="I9">
        <v>4</v>
      </c>
      <c r="K9" s="7">
        <v>5</v>
      </c>
      <c r="L9" s="7" t="s">
        <v>43</v>
      </c>
    </row>
    <row r="10" spans="4:12" x14ac:dyDescent="0.3">
      <c r="D10">
        <v>5</v>
      </c>
      <c r="E10" t="s">
        <v>44</v>
      </c>
      <c r="G10">
        <v>3</v>
      </c>
      <c r="H10" t="s">
        <v>48</v>
      </c>
      <c r="I10">
        <v>6</v>
      </c>
      <c r="K10" s="7">
        <v>6</v>
      </c>
      <c r="L10" s="7" t="s">
        <v>44</v>
      </c>
    </row>
    <row r="11" spans="4:12" x14ac:dyDescent="0.3">
      <c r="D11">
        <v>1</v>
      </c>
      <c r="E11" t="s">
        <v>44</v>
      </c>
      <c r="K11" s="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Lookup</vt:lpstr>
      <vt:lpstr>Index+Match</vt:lpstr>
      <vt:lpstr>Filter&amp;Sort</vt:lpstr>
      <vt:lpstr>RemoveDuplicate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 waghmare</cp:lastModifiedBy>
  <cp:lastPrinted>2025-01-24T18:10:11Z</cp:lastPrinted>
  <dcterms:created xsi:type="dcterms:W3CDTF">2015-06-05T18:17:20Z</dcterms:created>
  <dcterms:modified xsi:type="dcterms:W3CDTF">2026-03-21T13:03:29Z</dcterms:modified>
</cp:coreProperties>
</file>